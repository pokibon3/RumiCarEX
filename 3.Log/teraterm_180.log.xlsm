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\RumiCar\Log\"/>
    </mc:Choice>
  </mc:AlternateContent>
  <xr:revisionPtr revIDLastSave="0" documentId="13_ncr:1_{E3C9F3FE-C6A7-47A0-9D11-4AAAC147CA96}" xr6:coauthVersionLast="44" xr6:coauthVersionMax="44" xr10:uidLastSave="{00000000-0000-0000-0000-000000000000}"/>
  <bookViews>
    <workbookView xWindow="5325" yWindow="1605" windowWidth="22110" windowHeight="13095" xr2:uid="{00000000-000D-0000-FFFF-FFFF00000000}"/>
  </bookViews>
  <sheets>
    <sheet name="teraterm_180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3" i="1" l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G113" i="1" l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E3" i="1"/>
  <c r="H3" i="1" s="1"/>
  <c r="E4" i="1"/>
  <c r="H4" i="1" s="1"/>
  <c r="E5" i="1"/>
  <c r="E6" i="1"/>
  <c r="E7" i="1"/>
  <c r="H7" i="1" s="1"/>
  <c r="E8" i="1"/>
  <c r="E9" i="1"/>
  <c r="E10" i="1"/>
  <c r="H10" i="1" s="1"/>
  <c r="E11" i="1"/>
  <c r="E12" i="1"/>
  <c r="E13" i="1"/>
  <c r="E14" i="1"/>
  <c r="E15" i="1"/>
  <c r="E16" i="1"/>
  <c r="H16" i="1" s="1"/>
  <c r="J16" i="1" s="1"/>
  <c r="E17" i="1"/>
  <c r="E18" i="1"/>
  <c r="E19" i="1"/>
  <c r="H19" i="1" s="1"/>
  <c r="E20" i="1"/>
  <c r="E21" i="1"/>
  <c r="E22" i="1"/>
  <c r="H22" i="1" s="1"/>
  <c r="J22" i="1" s="1"/>
  <c r="E23" i="1"/>
  <c r="E24" i="1"/>
  <c r="E25" i="1"/>
  <c r="H25" i="1" s="1"/>
  <c r="E26" i="1"/>
  <c r="E27" i="1"/>
  <c r="E28" i="1"/>
  <c r="H28" i="1" s="1"/>
  <c r="J28" i="1" s="1"/>
  <c r="E29" i="1"/>
  <c r="E30" i="1"/>
  <c r="E31" i="1"/>
  <c r="E32" i="1"/>
  <c r="E33" i="1"/>
  <c r="E34" i="1"/>
  <c r="H34" i="1" s="1"/>
  <c r="J34" i="1" s="1"/>
  <c r="E35" i="1"/>
  <c r="E36" i="1"/>
  <c r="E37" i="1"/>
  <c r="H37" i="1" s="1"/>
  <c r="E38" i="1"/>
  <c r="E39" i="1"/>
  <c r="E40" i="1"/>
  <c r="H40" i="1" s="1"/>
  <c r="J40" i="1" s="1"/>
  <c r="E41" i="1"/>
  <c r="E42" i="1"/>
  <c r="E43" i="1"/>
  <c r="H43" i="1" s="1"/>
  <c r="E44" i="1"/>
  <c r="E45" i="1"/>
  <c r="E46" i="1"/>
  <c r="H46" i="1" s="1"/>
  <c r="J46" i="1" s="1"/>
  <c r="E47" i="1"/>
  <c r="E48" i="1"/>
  <c r="E49" i="1"/>
  <c r="H49" i="1" s="1"/>
  <c r="E50" i="1"/>
  <c r="E51" i="1"/>
  <c r="E52" i="1"/>
  <c r="H52" i="1" s="1"/>
  <c r="J52" i="1" s="1"/>
  <c r="E53" i="1"/>
  <c r="E54" i="1"/>
  <c r="E55" i="1"/>
  <c r="H55" i="1" s="1"/>
  <c r="E56" i="1"/>
  <c r="E57" i="1"/>
  <c r="E58" i="1"/>
  <c r="H58" i="1" s="1"/>
  <c r="J58" i="1" s="1"/>
  <c r="E59" i="1"/>
  <c r="E60" i="1"/>
  <c r="E61" i="1"/>
  <c r="H61" i="1" s="1"/>
  <c r="E62" i="1"/>
  <c r="E63" i="1"/>
  <c r="E64" i="1"/>
  <c r="H64" i="1" s="1"/>
  <c r="J64" i="1" s="1"/>
  <c r="E65" i="1"/>
  <c r="E66" i="1"/>
  <c r="E67" i="1"/>
  <c r="H67" i="1" s="1"/>
  <c r="E68" i="1"/>
  <c r="E69" i="1"/>
  <c r="E70" i="1"/>
  <c r="H70" i="1" s="1"/>
  <c r="J70" i="1" s="1"/>
  <c r="E71" i="1"/>
  <c r="E72" i="1"/>
  <c r="E73" i="1"/>
  <c r="H73" i="1" s="1"/>
  <c r="E74" i="1"/>
  <c r="E75" i="1"/>
  <c r="E76" i="1"/>
  <c r="H76" i="1" s="1"/>
  <c r="J76" i="1" s="1"/>
  <c r="E77" i="1"/>
  <c r="E78" i="1"/>
  <c r="E79" i="1"/>
  <c r="H79" i="1" s="1"/>
  <c r="E80" i="1"/>
  <c r="E81" i="1"/>
  <c r="E82" i="1"/>
  <c r="H82" i="1" s="1"/>
  <c r="J82" i="1" s="1"/>
  <c r="E83" i="1"/>
  <c r="E84" i="1"/>
  <c r="E85" i="1"/>
  <c r="H85" i="1" s="1"/>
  <c r="E86" i="1"/>
  <c r="E87" i="1"/>
  <c r="E88" i="1"/>
  <c r="H88" i="1" s="1"/>
  <c r="J88" i="1" s="1"/>
  <c r="E89" i="1"/>
  <c r="E90" i="1"/>
  <c r="E91" i="1"/>
  <c r="H91" i="1" s="1"/>
  <c r="E92" i="1"/>
  <c r="E93" i="1"/>
  <c r="E94" i="1"/>
  <c r="H94" i="1" s="1"/>
  <c r="J94" i="1" s="1"/>
  <c r="E95" i="1"/>
  <c r="E96" i="1"/>
  <c r="E97" i="1"/>
  <c r="H97" i="1" s="1"/>
  <c r="E98" i="1"/>
  <c r="E99" i="1"/>
  <c r="E100" i="1"/>
  <c r="H100" i="1" s="1"/>
  <c r="J100" i="1" s="1"/>
  <c r="E101" i="1"/>
  <c r="E102" i="1"/>
  <c r="E103" i="1"/>
  <c r="H103" i="1" s="1"/>
  <c r="E104" i="1"/>
  <c r="E105" i="1"/>
  <c r="E106" i="1"/>
  <c r="H106" i="1" s="1"/>
  <c r="J106" i="1" s="1"/>
  <c r="E107" i="1"/>
  <c r="E108" i="1"/>
  <c r="E109" i="1"/>
  <c r="H109" i="1" s="1"/>
  <c r="E110" i="1"/>
  <c r="E111" i="1"/>
  <c r="E112" i="1"/>
  <c r="H112" i="1" s="1"/>
  <c r="J112" i="1" s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7" i="1" l="1"/>
  <c r="J19" i="1"/>
  <c r="J25" i="1"/>
  <c r="J37" i="1"/>
  <c r="J43" i="1"/>
  <c r="J55" i="1"/>
  <c r="J61" i="1"/>
  <c r="J73" i="1"/>
  <c r="J79" i="1"/>
  <c r="J91" i="1"/>
  <c r="J97" i="1"/>
  <c r="J109" i="1"/>
  <c r="H110" i="1"/>
  <c r="H104" i="1"/>
  <c r="J104" i="1" s="1"/>
  <c r="H98" i="1"/>
  <c r="J98" i="1" s="1"/>
  <c r="H92" i="1"/>
  <c r="H86" i="1"/>
  <c r="J86" i="1" s="1"/>
  <c r="H80" i="1"/>
  <c r="J80" i="1" s="1"/>
  <c r="H74" i="1"/>
  <c r="H68" i="1"/>
  <c r="J68" i="1" s="1"/>
  <c r="H62" i="1"/>
  <c r="J62" i="1" s="1"/>
  <c r="H56" i="1"/>
  <c r="J56" i="1" s="1"/>
  <c r="H50" i="1"/>
  <c r="H44" i="1"/>
  <c r="J44" i="1" s="1"/>
  <c r="H38" i="1"/>
  <c r="J38" i="1" s="1"/>
  <c r="H32" i="1"/>
  <c r="J32" i="1" s="1"/>
  <c r="H26" i="1"/>
  <c r="J26" i="1" s="1"/>
  <c r="H20" i="1"/>
  <c r="J20" i="1" s="1"/>
  <c r="H14" i="1"/>
  <c r="J14" i="1" s="1"/>
  <c r="H8" i="1"/>
  <c r="J8" i="1" s="1"/>
  <c r="H31" i="1"/>
  <c r="H13" i="1"/>
  <c r="J13" i="1" s="1"/>
  <c r="H108" i="1"/>
  <c r="J108" i="1" s="1"/>
  <c r="H102" i="1"/>
  <c r="J102" i="1" s="1"/>
  <c r="H96" i="1"/>
  <c r="J96" i="1" s="1"/>
  <c r="H90" i="1"/>
  <c r="J90" i="1" s="1"/>
  <c r="H84" i="1"/>
  <c r="J84" i="1" s="1"/>
  <c r="H78" i="1"/>
  <c r="J78" i="1" s="1"/>
  <c r="H72" i="1"/>
  <c r="J72" i="1" s="1"/>
  <c r="H66" i="1"/>
  <c r="H60" i="1"/>
  <c r="J60" i="1" s="1"/>
  <c r="H54" i="1"/>
  <c r="J54" i="1" s="1"/>
  <c r="H48" i="1"/>
  <c r="H42" i="1"/>
  <c r="J42" i="1" s="1"/>
  <c r="H36" i="1"/>
  <c r="J36" i="1" s="1"/>
  <c r="H30" i="1"/>
  <c r="J30" i="1" s="1"/>
  <c r="H24" i="1"/>
  <c r="J24" i="1" s="1"/>
  <c r="H18" i="1"/>
  <c r="J18" i="1" s="1"/>
  <c r="H12" i="1"/>
  <c r="H6" i="1"/>
  <c r="J6" i="1" s="1"/>
  <c r="J10" i="1"/>
  <c r="J4" i="1"/>
  <c r="J12" i="1"/>
  <c r="J48" i="1"/>
  <c r="J66" i="1"/>
  <c r="H111" i="1"/>
  <c r="J111" i="1" s="1"/>
  <c r="H105" i="1"/>
  <c r="J105" i="1" s="1"/>
  <c r="H99" i="1"/>
  <c r="J99" i="1" s="1"/>
  <c r="H93" i="1"/>
  <c r="J93" i="1" s="1"/>
  <c r="H87" i="1"/>
  <c r="J87" i="1" s="1"/>
  <c r="H81" i="1"/>
  <c r="J81" i="1" s="1"/>
  <c r="H75" i="1"/>
  <c r="J75" i="1" s="1"/>
  <c r="H69" i="1"/>
  <c r="H63" i="1"/>
  <c r="J63" i="1" s="1"/>
  <c r="H57" i="1"/>
  <c r="J57" i="1" s="1"/>
  <c r="H51" i="1"/>
  <c r="H45" i="1"/>
  <c r="J45" i="1" s="1"/>
  <c r="H39" i="1"/>
  <c r="J39" i="1" s="1"/>
  <c r="H33" i="1"/>
  <c r="J33" i="1" s="1"/>
  <c r="H27" i="1"/>
  <c r="J27" i="1" s="1"/>
  <c r="H21" i="1"/>
  <c r="J21" i="1" s="1"/>
  <c r="H15" i="1"/>
  <c r="J15" i="1" s="1"/>
  <c r="H9" i="1"/>
  <c r="J9" i="1" s="1"/>
  <c r="J67" i="1"/>
  <c r="J49" i="1"/>
  <c r="J92" i="1"/>
  <c r="J31" i="1"/>
  <c r="J85" i="1"/>
  <c r="J103" i="1"/>
  <c r="J50" i="1"/>
  <c r="J74" i="1"/>
  <c r="J110" i="1"/>
  <c r="H113" i="1"/>
  <c r="J113" i="1" s="1"/>
  <c r="J3" i="1"/>
  <c r="J51" i="1"/>
  <c r="J69" i="1"/>
  <c r="H5" i="1"/>
  <c r="J5" i="1" s="1"/>
  <c r="H11" i="1"/>
  <c r="J11" i="1" s="1"/>
  <c r="H17" i="1"/>
  <c r="J17" i="1" s="1"/>
  <c r="H23" i="1"/>
  <c r="J23" i="1" s="1"/>
  <c r="H29" i="1"/>
  <c r="J29" i="1" s="1"/>
  <c r="H35" i="1"/>
  <c r="J35" i="1" s="1"/>
  <c r="H41" i="1"/>
  <c r="J41" i="1" s="1"/>
  <c r="H47" i="1"/>
  <c r="J47" i="1" s="1"/>
  <c r="H53" i="1"/>
  <c r="J53" i="1" s="1"/>
  <c r="H59" i="1"/>
  <c r="J59" i="1" s="1"/>
  <c r="H65" i="1"/>
  <c r="J65" i="1" s="1"/>
  <c r="H71" i="1"/>
  <c r="J71" i="1" s="1"/>
  <c r="H77" i="1"/>
  <c r="J77" i="1" s="1"/>
  <c r="H83" i="1"/>
  <c r="J83" i="1" s="1"/>
  <c r="H89" i="1"/>
  <c r="J89" i="1" s="1"/>
  <c r="H95" i="1"/>
  <c r="J95" i="1" s="1"/>
  <c r="H101" i="1"/>
  <c r="J101" i="1" s="1"/>
  <c r="H107" i="1"/>
  <c r="J107" i="1" s="1"/>
</calcChain>
</file>

<file path=xl/sharedStrings.xml><?xml version="1.0" encoding="utf-8"?>
<sst xmlns="http://schemas.openxmlformats.org/spreadsheetml/2006/main" count="220" uniqueCount="218">
  <si>
    <t>[2020-07-18 09:55:55.200] S0</t>
  </si>
  <si>
    <t>S1</t>
  </si>
  <si>
    <t>S2</t>
  </si>
  <si>
    <t>Time</t>
  </si>
  <si>
    <t xml:space="preserve">[2020-07-18 09:55:56.768] </t>
  </si>
  <si>
    <t xml:space="preserve">[2020-07-18 09:55:56.779] </t>
  </si>
  <si>
    <t xml:space="preserve">[2020-07-18 09:55:56.786] </t>
  </si>
  <si>
    <t xml:space="preserve">[2020-07-18 09:55:56.793] </t>
  </si>
  <si>
    <t xml:space="preserve">[2020-07-18 09:55:56.802] </t>
  </si>
  <si>
    <t xml:space="preserve">[2020-07-18 09:55:56.811] </t>
  </si>
  <si>
    <t xml:space="preserve">[2020-07-18 09:55:56.826] </t>
  </si>
  <si>
    <t xml:space="preserve">[2020-07-18 09:55:56.850] </t>
  </si>
  <si>
    <t xml:space="preserve">[2020-07-18 09:55:56.874] </t>
  </si>
  <si>
    <t xml:space="preserve">[2020-07-18 09:55:56.900] </t>
  </si>
  <si>
    <t xml:space="preserve">[2020-07-18 09:55:56.933] </t>
  </si>
  <si>
    <t xml:space="preserve">[2020-07-18 09:55:56.949] </t>
  </si>
  <si>
    <t xml:space="preserve">[2020-07-18 09:55:56.970] </t>
  </si>
  <si>
    <t xml:space="preserve">[2020-07-18 09:55:57.004] </t>
  </si>
  <si>
    <t xml:space="preserve">[2020-07-18 09:55:57.010] </t>
  </si>
  <si>
    <t xml:space="preserve">[2020-07-18 09:55:57.068] </t>
  </si>
  <si>
    <t xml:space="preserve">[2020-07-18 09:55:57.075] </t>
  </si>
  <si>
    <t xml:space="preserve">[2020-07-18 09:55:57.080] </t>
  </si>
  <si>
    <t xml:space="preserve">[2020-07-18 09:55:57.109] </t>
  </si>
  <si>
    <t xml:space="preserve">[2020-07-18 09:55:57.132] </t>
  </si>
  <si>
    <t xml:space="preserve">[2020-07-18 09:55:57.156] </t>
  </si>
  <si>
    <t xml:space="preserve">[2020-07-18 09:55:57.188] </t>
  </si>
  <si>
    <t xml:space="preserve">[2020-07-18 09:55:57.204] </t>
  </si>
  <si>
    <t xml:space="preserve">[2020-07-18 09:55:57.225] </t>
  </si>
  <si>
    <t xml:space="preserve">[2020-07-18 09:55:57.253] </t>
  </si>
  <si>
    <t xml:space="preserve">[2020-07-18 09:55:57.299] </t>
  </si>
  <si>
    <t xml:space="preserve">[2020-07-18 09:55:57.308] </t>
  </si>
  <si>
    <t xml:space="preserve">[2020-07-18 09:55:57.325] </t>
  </si>
  <si>
    <t xml:space="preserve">[2020-07-18 09:55:57.354] </t>
  </si>
  <si>
    <t xml:space="preserve">[2020-07-18 09:55:57.381] </t>
  </si>
  <si>
    <t xml:space="preserve">[2020-07-18 09:55:57.443] </t>
  </si>
  <si>
    <t xml:space="preserve">[2020-07-18 09:55:57.449] </t>
  </si>
  <si>
    <t xml:space="preserve">[2020-07-18 09:55:57.458] </t>
  </si>
  <si>
    <t xml:space="preserve">[2020-07-18 09:55:57.461] </t>
  </si>
  <si>
    <t xml:space="preserve">[2020-07-18 09:55:57.491] </t>
  </si>
  <si>
    <t xml:space="preserve">[2020-07-18 09:55:57.500] </t>
  </si>
  <si>
    <t xml:space="preserve">[2020-07-18 09:55:57.530] </t>
  </si>
  <si>
    <t xml:space="preserve">[2020-07-18 09:55:57.542] </t>
  </si>
  <si>
    <t xml:space="preserve">[2020-07-18 09:55:57.574] </t>
  </si>
  <si>
    <t xml:space="preserve">[2020-07-18 09:55:57.592] </t>
  </si>
  <si>
    <t xml:space="preserve">[2020-07-18 09:55:57.659] </t>
  </si>
  <si>
    <t xml:space="preserve">[2020-07-18 09:55:57.663] </t>
  </si>
  <si>
    <t xml:space="preserve">[2020-07-18 09:55:57.674] </t>
  </si>
  <si>
    <t xml:space="preserve">[2020-07-18 09:55:57.692] </t>
  </si>
  <si>
    <t xml:space="preserve">[2020-07-18 09:55:57.721] </t>
  </si>
  <si>
    <t xml:space="preserve">[2020-07-18 09:55:57.748] </t>
  </si>
  <si>
    <t xml:space="preserve">[2020-07-18 09:55:57.815] </t>
  </si>
  <si>
    <t xml:space="preserve">[2020-07-18 09:55:57.819] </t>
  </si>
  <si>
    <t xml:space="preserve">[2020-07-18 09:55:57.826] </t>
  </si>
  <si>
    <t xml:space="preserve">[2020-07-18 09:55:57.829] </t>
  </si>
  <si>
    <t xml:space="preserve">[2020-07-18 09:55:57.860] </t>
  </si>
  <si>
    <t xml:space="preserve">[2020-07-18 09:55:57.880] </t>
  </si>
  <si>
    <t xml:space="preserve">[2020-07-18 09:55:57.900] </t>
  </si>
  <si>
    <t xml:space="preserve">[2020-07-18 09:55:57.938] </t>
  </si>
  <si>
    <t xml:space="preserve">[2020-07-18 09:55:57.950] </t>
  </si>
  <si>
    <t xml:space="preserve">[2020-07-18 09:55:57.971] </t>
  </si>
  <si>
    <t xml:space="preserve">[2020-07-18 09:55:57.992] </t>
  </si>
  <si>
    <t xml:space="preserve">[2020-07-18 09:55:58.020] </t>
  </si>
  <si>
    <t xml:space="preserve">[2020-07-18 09:55:58.042] </t>
  </si>
  <si>
    <t xml:space="preserve">[2020-07-18 09:55:58.082] </t>
  </si>
  <si>
    <t xml:space="preserve">[2020-07-18 09:55:58.107] </t>
  </si>
  <si>
    <t xml:space="preserve">[2020-07-18 09:55:58.181] </t>
  </si>
  <si>
    <t xml:space="preserve">[2020-07-18 09:55:58.204] </t>
  </si>
  <si>
    <t xml:space="preserve">[2020-07-18 09:55:58.212] </t>
  </si>
  <si>
    <t xml:space="preserve">[2020-07-18 09:55:58.227] </t>
  </si>
  <si>
    <t xml:space="preserve">[2020-07-18 09:55:58.261] </t>
  </si>
  <si>
    <t xml:space="preserve">[2020-07-18 09:55:58.292] </t>
  </si>
  <si>
    <t xml:space="preserve">[2020-07-18 09:55:58.297] </t>
  </si>
  <si>
    <t xml:space="preserve">[2020-07-18 09:55:58.310] </t>
  </si>
  <si>
    <t xml:space="preserve">[2020-07-18 09:55:58.316] </t>
  </si>
  <si>
    <t xml:space="preserve">[2020-07-18 09:55:58.345] </t>
  </si>
  <si>
    <t xml:space="preserve">[2020-07-18 09:55:58.361] </t>
  </si>
  <si>
    <t xml:space="preserve">[2020-07-18 09:55:58.376] </t>
  </si>
  <si>
    <t xml:space="preserve">[2020-07-18 09:55:58.405] </t>
  </si>
  <si>
    <t xml:space="preserve">[2020-07-18 09:55:58.433] </t>
  </si>
  <si>
    <t xml:space="preserve">[2020-07-18 09:55:58.454] </t>
  </si>
  <si>
    <t xml:space="preserve">[2020-07-18 09:55:58.475] </t>
  </si>
  <si>
    <t xml:space="preserve">[2020-07-18 09:55:58.627] </t>
  </si>
  <si>
    <t xml:space="preserve">[2020-07-18 09:55:58.658] </t>
  </si>
  <si>
    <t xml:space="preserve">[2020-07-18 09:55:58.698] </t>
  </si>
  <si>
    <t xml:space="preserve">[2020-07-18 09:55:58.715] </t>
  </si>
  <si>
    <t xml:space="preserve">[2020-07-18 09:55:58.729] </t>
  </si>
  <si>
    <t xml:space="preserve">[2020-07-18 09:55:58.746] </t>
  </si>
  <si>
    <t xml:space="preserve">[2020-07-18 09:55:58.762] </t>
  </si>
  <si>
    <t xml:space="preserve">[2020-07-18 09:55:58.778] </t>
  </si>
  <si>
    <t xml:space="preserve">[2020-07-18 09:55:58.796] </t>
  </si>
  <si>
    <t xml:space="preserve">[2020-07-18 09:55:58.811] </t>
  </si>
  <si>
    <t xml:space="preserve">[2020-07-18 09:55:58.820] </t>
  </si>
  <si>
    <t xml:space="preserve">[2020-07-18 09:55:58.829] </t>
  </si>
  <si>
    <t xml:space="preserve">[2020-07-18 09:55:58.844] </t>
  </si>
  <si>
    <t xml:space="preserve">[2020-07-18 09:55:58.909] </t>
  </si>
  <si>
    <t xml:space="preserve">[2020-07-18 09:55:58.945] </t>
  </si>
  <si>
    <t xml:space="preserve">[2020-07-18 09:55:58.959] </t>
  </si>
  <si>
    <t xml:space="preserve">[2020-07-18 09:55:58.980] </t>
  </si>
  <si>
    <t xml:space="preserve">[2020-07-18 09:55:58.993] </t>
  </si>
  <si>
    <t xml:space="preserve">[2020-07-18 09:55:59.011] </t>
  </si>
  <si>
    <t xml:space="preserve">[2020-07-18 09:55:59.031] </t>
  </si>
  <si>
    <t xml:space="preserve">[2020-07-18 09:55:59.047] </t>
  </si>
  <si>
    <t xml:space="preserve">[2020-07-18 09:55:59.070] </t>
  </si>
  <si>
    <t xml:space="preserve">[2020-07-18 09:55:59.084] </t>
  </si>
  <si>
    <t xml:space="preserve">[2020-07-18 09:55:59.101] </t>
  </si>
  <si>
    <t xml:space="preserve">[2020-07-18 09:55:59.116] </t>
  </si>
  <si>
    <t xml:space="preserve">[2020-07-18 09:55:59.137] </t>
  </si>
  <si>
    <t xml:space="preserve">[2020-07-18 09:55:59.151] </t>
  </si>
  <si>
    <t xml:space="preserve">[2020-07-18 09:55:59.175] </t>
  </si>
  <si>
    <t xml:space="preserve">[2020-07-18 09:55:59.218] </t>
  </si>
  <si>
    <t xml:space="preserve">[2020-07-18 09:55:59.287] </t>
  </si>
  <si>
    <t xml:space="preserve">[2020-07-18 09:55:59.313] </t>
  </si>
  <si>
    <t xml:space="preserve">[2020-07-18 09:55:59.335] </t>
  </si>
  <si>
    <t xml:space="preserve">[2020-07-18 09:55:59.342] </t>
  </si>
  <si>
    <t xml:space="preserve">[2020-07-18 09:55:59.375] </t>
  </si>
  <si>
    <t xml:space="preserve">[2020-07-18 09:55:59.398] </t>
  </si>
  <si>
    <t xml:space="preserve">[2020-07-18 09:55:59.420] </t>
  </si>
  <si>
    <t xml:space="preserve">[2020-07-18 09:55:59.435] </t>
  </si>
  <si>
    <t xml:space="preserve">[2020-07-18 09:55:59.442] </t>
  </si>
  <si>
    <t xml:space="preserve">[2020-07-18 09:55:59.469] </t>
  </si>
  <si>
    <t xml:space="preserve">[2020-07-18 09:55:59.500] </t>
  </si>
  <si>
    <t xml:space="preserve">[2020-07-18 09:55:59.518] </t>
  </si>
  <si>
    <t xml:space="preserve">[2020-07-18 09:55:59.541] </t>
  </si>
  <si>
    <t xml:space="preserve">[2020-07-18 09:55:59.568] </t>
  </si>
  <si>
    <t xml:space="preserve">[2020-07-18 09:55:59.653] </t>
  </si>
  <si>
    <t xml:space="preserve">[2020-07-18 09:55:59.665] </t>
  </si>
  <si>
    <t xml:space="preserve">[2020-07-18 09:55:59.683] </t>
  </si>
  <si>
    <t xml:space="preserve">[2020-07-18 09:55:59.731] </t>
  </si>
  <si>
    <t xml:space="preserve">[2020-07-18 09:55:59.763] </t>
  </si>
  <si>
    <t xml:space="preserve">[2020-07-18 09:55:59.791] </t>
  </si>
  <si>
    <t xml:space="preserve">[2020-07-18 09:55:59.815] </t>
  </si>
  <si>
    <t xml:space="preserve">[2020-07-18 09:55:59.862] </t>
  </si>
  <si>
    <t xml:space="preserve">[2020-07-18 09:55:59.890] </t>
  </si>
  <si>
    <t xml:space="preserve">[2020-07-18 09:55:59.911] </t>
  </si>
  <si>
    <t xml:space="preserve">[2020-07-18 09:55:59.928] </t>
  </si>
  <si>
    <t xml:space="preserve">[2020-07-18 09:55:59.948] </t>
  </si>
  <si>
    <t xml:space="preserve">[2020-07-18 09:56:00.029] </t>
  </si>
  <si>
    <t xml:space="preserve">[2020-07-18 09:56:00.077] </t>
  </si>
  <si>
    <t xml:space="preserve">[2020-07-18 09:56:00.085] </t>
  </si>
  <si>
    <t xml:space="preserve">[2020-07-18 09:56:00.107] </t>
  </si>
  <si>
    <t xml:space="preserve">[2020-07-18 09:56:00.117] </t>
  </si>
  <si>
    <t xml:space="preserve">[2020-07-18 09:56:00.133] </t>
  </si>
  <si>
    <t xml:space="preserve">[2020-07-18 09:56:00.144] </t>
  </si>
  <si>
    <t xml:space="preserve">[2020-07-18 09:56:00.162] </t>
  </si>
  <si>
    <t xml:space="preserve">[2020-07-18 09:56:00.180] </t>
  </si>
  <si>
    <t xml:space="preserve">[2020-07-18 09:56:00.219] </t>
  </si>
  <si>
    <t xml:space="preserve">[2020-07-18 09:56:00.232] </t>
  </si>
  <si>
    <t xml:space="preserve">[2020-07-18 09:56:00.245] </t>
  </si>
  <si>
    <t xml:space="preserve">[2020-07-18 09:56:00.259] </t>
  </si>
  <si>
    <t xml:space="preserve">[2020-07-18 09:56:00.277] </t>
  </si>
  <si>
    <t xml:space="preserve">[2020-07-18 09:56:00.294] </t>
  </si>
  <si>
    <t xml:space="preserve">[2020-07-18 09:56:00.310] </t>
  </si>
  <si>
    <t xml:space="preserve">[2020-07-18 09:56:00.381] </t>
  </si>
  <si>
    <t xml:space="preserve">[2020-07-18 09:56:00.400] </t>
  </si>
  <si>
    <t xml:space="preserve">[2020-07-18 09:56:00.413] </t>
  </si>
  <si>
    <t xml:space="preserve">[2020-07-18 09:56:00.435] </t>
  </si>
  <si>
    <t xml:space="preserve">[2020-07-18 09:56:00.496] </t>
  </si>
  <si>
    <t xml:space="preserve">[2020-07-18 09:56:00.512] </t>
  </si>
  <si>
    <t xml:space="preserve">[2020-07-18 09:56:00.530] </t>
  </si>
  <si>
    <t xml:space="preserve">[2020-07-18 09:56:00.564] </t>
  </si>
  <si>
    <t xml:space="preserve">[2020-07-18 09:56:00.580] </t>
  </si>
  <si>
    <t xml:space="preserve">[2020-07-18 09:56:00.597] </t>
  </si>
  <si>
    <t xml:space="preserve">[2020-07-18 09:56:00.615] </t>
  </si>
  <si>
    <t xml:space="preserve">[2020-07-18 09:56:00.644] </t>
  </si>
  <si>
    <t xml:space="preserve">[2020-07-18 09:56:00.656] </t>
  </si>
  <si>
    <t xml:space="preserve">[2020-07-18 09:56:00.687] </t>
  </si>
  <si>
    <t xml:space="preserve">[2020-07-18 09:56:00.753] </t>
  </si>
  <si>
    <t xml:space="preserve">[2020-07-18 09:56:00.767] </t>
  </si>
  <si>
    <t xml:space="preserve">[2020-07-18 09:56:00.816] </t>
  </si>
  <si>
    <t xml:space="preserve">[2020-07-18 09:56:00.829] </t>
  </si>
  <si>
    <t xml:space="preserve">[2020-07-18 09:56:00.844] </t>
  </si>
  <si>
    <t xml:space="preserve">[2020-07-18 09:56:00.877] </t>
  </si>
  <si>
    <t xml:space="preserve">[2020-07-18 09:56:00.919] </t>
  </si>
  <si>
    <t xml:space="preserve">[2020-07-18 09:56:00.966] </t>
  </si>
  <si>
    <t xml:space="preserve">[2020-07-18 09:56:00.999] </t>
  </si>
  <si>
    <t xml:space="preserve">[2020-07-18 09:56:01.010] </t>
  </si>
  <si>
    <t xml:space="preserve">[2020-07-18 09:56:01.029] </t>
  </si>
  <si>
    <t xml:space="preserve">[2020-07-18 09:56:01.040] </t>
  </si>
  <si>
    <t xml:space="preserve">[2020-07-18 09:56:01.137] </t>
  </si>
  <si>
    <t xml:space="preserve">[2020-07-18 09:56:01.166] </t>
  </si>
  <si>
    <t xml:space="preserve">[2020-07-18 09:56:01.192] </t>
  </si>
  <si>
    <t xml:space="preserve">[2020-07-18 09:56:01.202] </t>
  </si>
  <si>
    <t xml:space="preserve">[2020-07-18 09:56:01.219] </t>
  </si>
  <si>
    <t xml:space="preserve">[2020-07-18 09:56:01.236] </t>
  </si>
  <si>
    <t xml:space="preserve">[2020-07-18 09:56:01.248] </t>
  </si>
  <si>
    <t xml:space="preserve">[2020-07-18 09:56:01.257] </t>
  </si>
  <si>
    <t xml:space="preserve">[2020-07-18 09:56:01.277] </t>
  </si>
  <si>
    <t xml:space="preserve">[2020-07-18 09:56:01.283] </t>
  </si>
  <si>
    <t xml:space="preserve">[2020-07-18 09:56:01.302] </t>
  </si>
  <si>
    <t xml:space="preserve">[2020-07-18 09:56:01.315] </t>
  </si>
  <si>
    <t xml:space="preserve">[2020-07-18 09:56:01.353] </t>
  </si>
  <si>
    <t xml:space="preserve">[2020-07-18 09:56:01.401] </t>
  </si>
  <si>
    <t xml:space="preserve">[2020-07-18 09:56:01.495] </t>
  </si>
  <si>
    <t xml:space="preserve">[2020-07-18 09:56:01.534] </t>
  </si>
  <si>
    <t xml:space="preserve">[2020-07-18 09:56:01.562] </t>
  </si>
  <si>
    <t xml:space="preserve">[2020-07-18 09:56:01.577] </t>
  </si>
  <si>
    <t xml:space="preserve">[2020-07-18 09:56:01.596] </t>
  </si>
  <si>
    <t xml:space="preserve">[2020-07-18 09:56:01.615] </t>
  </si>
  <si>
    <t xml:space="preserve">[2020-07-18 09:56:01.628] </t>
  </si>
  <si>
    <t xml:space="preserve">[2020-07-18 09:56:01.645] </t>
  </si>
  <si>
    <t xml:space="preserve">[2020-07-18 09:56:01.663] </t>
  </si>
  <si>
    <t xml:space="preserve">[2020-07-18 09:56:01.674] </t>
  </si>
  <si>
    <t xml:space="preserve">[2020-07-18 09:56:01.689] </t>
  </si>
  <si>
    <t xml:space="preserve">[2020-07-18 09:56:01.710] </t>
  </si>
  <si>
    <t xml:space="preserve">[2020-07-18 09:56:01.716] </t>
  </si>
  <si>
    <t xml:space="preserve">[2020-07-18 09:56:01.781] </t>
  </si>
  <si>
    <t xml:space="preserve">[2020-07-18 09:56:01.860] </t>
  </si>
  <si>
    <t xml:space="preserve">[2020-07-18 09:56:01.876] </t>
  </si>
  <si>
    <t xml:space="preserve">[2020-07-18 09:56:01.896] </t>
  </si>
  <si>
    <t xml:space="preserve">[2020-07-18 09:56:01.911] </t>
  </si>
  <si>
    <t xml:space="preserve">[2020-07-18 09:56:01.923] </t>
  </si>
  <si>
    <t xml:space="preserve">[2020-07-18 09:56:01.945] </t>
  </si>
  <si>
    <t>S0</t>
    <phoneticPr fontId="18"/>
  </si>
  <si>
    <t>Time</t>
    <phoneticPr fontId="18"/>
  </si>
  <si>
    <t>dD</t>
    <phoneticPr fontId="18"/>
  </si>
  <si>
    <t>dT</t>
    <phoneticPr fontId="18"/>
  </si>
  <si>
    <t>Speed</t>
    <phoneticPr fontId="18"/>
  </si>
  <si>
    <t>S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</si>
</sst>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teraterm_180!$G$1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teraterm_180!$G$2:$G$303</c:f>
              <c:numCache>
                <c:formatCode>General</c:formatCode>
                <c:ptCount val="204"/>
                <c:pt idx="0">
                  <c:v>201.8</c:v>
                </c:pt>
                <c:pt idx="1">
                  <c:v>198.3</c:v>
                </c:pt>
                <c:pt idx="2">
                  <c:v>198.9</c:v>
                </c:pt>
                <c:pt idx="3">
                  <c:v>204.4</c:v>
                </c:pt>
                <c:pt idx="4">
                  <c:v>194.9</c:v>
                </c:pt>
                <c:pt idx="5">
                  <c:v>197.8</c:v>
                </c:pt>
                <c:pt idx="6">
                  <c:v>206.8</c:v>
                </c:pt>
                <c:pt idx="7">
                  <c:v>205</c:v>
                </c:pt>
                <c:pt idx="8">
                  <c:v>198.6</c:v>
                </c:pt>
                <c:pt idx="9">
                  <c:v>205.6</c:v>
                </c:pt>
                <c:pt idx="10">
                  <c:v>204.3</c:v>
                </c:pt>
                <c:pt idx="11">
                  <c:v>204</c:v>
                </c:pt>
                <c:pt idx="12">
                  <c:v>202.2</c:v>
                </c:pt>
                <c:pt idx="13">
                  <c:v>202.4</c:v>
                </c:pt>
                <c:pt idx="14">
                  <c:v>202.1</c:v>
                </c:pt>
                <c:pt idx="15">
                  <c:v>202.1</c:v>
                </c:pt>
                <c:pt idx="16">
                  <c:v>199.9</c:v>
                </c:pt>
                <c:pt idx="17">
                  <c:v>198.5</c:v>
                </c:pt>
                <c:pt idx="18">
                  <c:v>200.1</c:v>
                </c:pt>
                <c:pt idx="19">
                  <c:v>195.8</c:v>
                </c:pt>
                <c:pt idx="20">
                  <c:v>195.7</c:v>
                </c:pt>
                <c:pt idx="21">
                  <c:v>194.3</c:v>
                </c:pt>
                <c:pt idx="22">
                  <c:v>193.3</c:v>
                </c:pt>
                <c:pt idx="23">
                  <c:v>189.7</c:v>
                </c:pt>
                <c:pt idx="24">
                  <c:v>188.8</c:v>
                </c:pt>
                <c:pt idx="25">
                  <c:v>186.9</c:v>
                </c:pt>
                <c:pt idx="26">
                  <c:v>185.6</c:v>
                </c:pt>
                <c:pt idx="27">
                  <c:v>185.1</c:v>
                </c:pt>
                <c:pt idx="28">
                  <c:v>180.6</c:v>
                </c:pt>
                <c:pt idx="29">
                  <c:v>179.5</c:v>
                </c:pt>
                <c:pt idx="30">
                  <c:v>177.1</c:v>
                </c:pt>
                <c:pt idx="31">
                  <c:v>173.4</c:v>
                </c:pt>
                <c:pt idx="32">
                  <c:v>173.1</c:v>
                </c:pt>
                <c:pt idx="33">
                  <c:v>170</c:v>
                </c:pt>
                <c:pt idx="34">
                  <c:v>167.9</c:v>
                </c:pt>
                <c:pt idx="35">
                  <c:v>166.6</c:v>
                </c:pt>
                <c:pt idx="36">
                  <c:v>162.6</c:v>
                </c:pt>
                <c:pt idx="37">
                  <c:v>159.69999999999999</c:v>
                </c:pt>
                <c:pt idx="38">
                  <c:v>158.69999999999999</c:v>
                </c:pt>
                <c:pt idx="39">
                  <c:v>154.9</c:v>
                </c:pt>
                <c:pt idx="40">
                  <c:v>153</c:v>
                </c:pt>
                <c:pt idx="41">
                  <c:v>150.9</c:v>
                </c:pt>
                <c:pt idx="42">
                  <c:v>149.1</c:v>
                </c:pt>
                <c:pt idx="43">
                  <c:v>145.30000000000001</c:v>
                </c:pt>
                <c:pt idx="44">
                  <c:v>143.69999999999999</c:v>
                </c:pt>
                <c:pt idx="45">
                  <c:v>139.4</c:v>
                </c:pt>
                <c:pt idx="46">
                  <c:v>139.69999999999999</c:v>
                </c:pt>
                <c:pt idx="47">
                  <c:v>137</c:v>
                </c:pt>
                <c:pt idx="48">
                  <c:v>133.19999999999999</c:v>
                </c:pt>
                <c:pt idx="49">
                  <c:v>130.19999999999999</c:v>
                </c:pt>
                <c:pt idx="50">
                  <c:v>127.8</c:v>
                </c:pt>
                <c:pt idx="51">
                  <c:v>124.4</c:v>
                </c:pt>
                <c:pt idx="52">
                  <c:v>121.8</c:v>
                </c:pt>
                <c:pt idx="53">
                  <c:v>118.6</c:v>
                </c:pt>
                <c:pt idx="54">
                  <c:v>115.6</c:v>
                </c:pt>
                <c:pt idx="55">
                  <c:v>112</c:v>
                </c:pt>
                <c:pt idx="56">
                  <c:v>109.4</c:v>
                </c:pt>
                <c:pt idx="57">
                  <c:v>105.8</c:v>
                </c:pt>
                <c:pt idx="58">
                  <c:v>102.5</c:v>
                </c:pt>
                <c:pt idx="59">
                  <c:v>99.6</c:v>
                </c:pt>
                <c:pt idx="60">
                  <c:v>96</c:v>
                </c:pt>
                <c:pt idx="61">
                  <c:v>93.3</c:v>
                </c:pt>
                <c:pt idx="62">
                  <c:v>89.8</c:v>
                </c:pt>
                <c:pt idx="63">
                  <c:v>86.6</c:v>
                </c:pt>
                <c:pt idx="64">
                  <c:v>83.4</c:v>
                </c:pt>
                <c:pt idx="65">
                  <c:v>79.7</c:v>
                </c:pt>
                <c:pt idx="66">
                  <c:v>76</c:v>
                </c:pt>
                <c:pt idx="67">
                  <c:v>72.8</c:v>
                </c:pt>
                <c:pt idx="68">
                  <c:v>68.8</c:v>
                </c:pt>
                <c:pt idx="69">
                  <c:v>65.5</c:v>
                </c:pt>
                <c:pt idx="70">
                  <c:v>62.2</c:v>
                </c:pt>
                <c:pt idx="71">
                  <c:v>59.7</c:v>
                </c:pt>
                <c:pt idx="72">
                  <c:v>56.6</c:v>
                </c:pt>
                <c:pt idx="73">
                  <c:v>54.2</c:v>
                </c:pt>
                <c:pt idx="74">
                  <c:v>51.9</c:v>
                </c:pt>
                <c:pt idx="75">
                  <c:v>49.5</c:v>
                </c:pt>
                <c:pt idx="76">
                  <c:v>47.7</c:v>
                </c:pt>
                <c:pt idx="77">
                  <c:v>45.7</c:v>
                </c:pt>
                <c:pt idx="78">
                  <c:v>44</c:v>
                </c:pt>
                <c:pt idx="79">
                  <c:v>42.1</c:v>
                </c:pt>
                <c:pt idx="80">
                  <c:v>40.4</c:v>
                </c:pt>
                <c:pt idx="81">
                  <c:v>38.799999999999997</c:v>
                </c:pt>
                <c:pt idx="82">
                  <c:v>37.700000000000003</c:v>
                </c:pt>
                <c:pt idx="83">
                  <c:v>36.200000000000003</c:v>
                </c:pt>
                <c:pt idx="84">
                  <c:v>35.200000000000003</c:v>
                </c:pt>
                <c:pt idx="85">
                  <c:v>34</c:v>
                </c:pt>
                <c:pt idx="86">
                  <c:v>33.1</c:v>
                </c:pt>
                <c:pt idx="87">
                  <c:v>32</c:v>
                </c:pt>
                <c:pt idx="88">
                  <c:v>31.3</c:v>
                </c:pt>
                <c:pt idx="89">
                  <c:v>30.2</c:v>
                </c:pt>
                <c:pt idx="90">
                  <c:v>29.8</c:v>
                </c:pt>
                <c:pt idx="91">
                  <c:v>28.8</c:v>
                </c:pt>
                <c:pt idx="92">
                  <c:v>28.5</c:v>
                </c:pt>
                <c:pt idx="93">
                  <c:v>28</c:v>
                </c:pt>
                <c:pt idx="94">
                  <c:v>27.4</c:v>
                </c:pt>
                <c:pt idx="95">
                  <c:v>26.9</c:v>
                </c:pt>
                <c:pt idx="96">
                  <c:v>26.7</c:v>
                </c:pt>
                <c:pt idx="97">
                  <c:v>26.8</c:v>
                </c:pt>
                <c:pt idx="98">
                  <c:v>26.3</c:v>
                </c:pt>
                <c:pt idx="99">
                  <c:v>26.2</c:v>
                </c:pt>
                <c:pt idx="100">
                  <c:v>26.1</c:v>
                </c:pt>
                <c:pt idx="101">
                  <c:v>26</c:v>
                </c:pt>
                <c:pt idx="102">
                  <c:v>26.2</c:v>
                </c:pt>
                <c:pt idx="103">
                  <c:v>26.1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25.8</c:v>
                </c:pt>
                <c:pt idx="108">
                  <c:v>26.1</c:v>
                </c:pt>
                <c:pt idx="109">
                  <c:v>26.1</c:v>
                </c:pt>
                <c:pt idx="110">
                  <c:v>26.6</c:v>
                </c:pt>
                <c:pt idx="111">
                  <c:v>26.1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1-4D3D-9BF3-33CECAFC98E7}"/>
            </c:ext>
          </c:extLst>
        </c:ser>
        <c:ser>
          <c:idx val="1"/>
          <c:order val="1"/>
          <c:tx>
            <c:strRef>
              <c:f>teraterm_180!$H$1</c:f>
              <c:strCache>
                <c:ptCount val="1"/>
                <c:pt idx="0">
                  <c:v>dT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teraterm_180!$H$2:$H$303</c:f>
            </c:numRef>
          </c:val>
          <c:smooth val="0"/>
          <c:extLst>
            <c:ext xmlns:c16="http://schemas.microsoft.com/office/drawing/2014/chart" uri="{C3380CC4-5D6E-409C-BE32-E72D297353CC}">
              <c16:uniqueId val="{00000001-5AB1-4D3D-9BF3-33CECAFC98E7}"/>
            </c:ext>
          </c:extLst>
        </c:ser>
        <c:ser>
          <c:idx val="2"/>
          <c:order val="2"/>
          <c:tx>
            <c:strRef>
              <c:f>teraterm_180!$I$1</c:f>
              <c:strCache>
                <c:ptCount val="1"/>
                <c:pt idx="0">
                  <c:v>dD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teraterm_180!$I$2:$I$303</c:f>
            </c:numRef>
          </c:val>
          <c:smooth val="0"/>
          <c:extLst>
            <c:ext xmlns:c16="http://schemas.microsoft.com/office/drawing/2014/chart" uri="{C3380CC4-5D6E-409C-BE32-E72D297353CC}">
              <c16:uniqueId val="{00000002-5AB1-4D3D-9BF3-33CECAFC98E7}"/>
            </c:ext>
          </c:extLst>
        </c:ser>
        <c:ser>
          <c:idx val="3"/>
          <c:order val="3"/>
          <c:tx>
            <c:strRef>
              <c:f>teraterm_180!$J$1</c:f>
              <c:strCache>
                <c:ptCount val="1"/>
                <c:pt idx="0">
                  <c:v>Speed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teraterm_180!$J$2:$J$303</c:f>
              <c:numCache>
                <c:formatCode>0.00_ </c:formatCode>
                <c:ptCount val="204"/>
                <c:pt idx="0">
                  <c:v>0</c:v>
                </c:pt>
                <c:pt idx="1">
                  <c:v>189</c:v>
                </c:pt>
                <c:pt idx="2">
                  <c:v>-21.6</c:v>
                </c:pt>
                <c:pt idx="3">
                  <c:v>-297</c:v>
                </c:pt>
                <c:pt idx="4">
                  <c:v>513</c:v>
                </c:pt>
                <c:pt idx="5">
                  <c:v>-156.6</c:v>
                </c:pt>
                <c:pt idx="6">
                  <c:v>-313.54838709677421</c:v>
                </c:pt>
                <c:pt idx="7">
                  <c:v>97.2</c:v>
                </c:pt>
                <c:pt idx="8">
                  <c:v>345.6</c:v>
                </c:pt>
                <c:pt idx="9">
                  <c:v>-252.00000000000003</c:v>
                </c:pt>
                <c:pt idx="10">
                  <c:v>70.2</c:v>
                </c:pt>
                <c:pt idx="11">
                  <c:v>16.2</c:v>
                </c:pt>
                <c:pt idx="12">
                  <c:v>64.8</c:v>
                </c:pt>
                <c:pt idx="13">
                  <c:v>-10.8</c:v>
                </c:pt>
                <c:pt idx="14">
                  <c:v>16.2</c:v>
                </c:pt>
                <c:pt idx="15">
                  <c:v>0</c:v>
                </c:pt>
                <c:pt idx="16">
                  <c:v>118.80000000000001</c:v>
                </c:pt>
                <c:pt idx="17">
                  <c:v>75.599999999999994</c:v>
                </c:pt>
                <c:pt idx="18">
                  <c:v>-57.6</c:v>
                </c:pt>
                <c:pt idx="19">
                  <c:v>232.2</c:v>
                </c:pt>
                <c:pt idx="20">
                  <c:v>5.4</c:v>
                </c:pt>
                <c:pt idx="21">
                  <c:v>50.4</c:v>
                </c:pt>
                <c:pt idx="22">
                  <c:v>54</c:v>
                </c:pt>
                <c:pt idx="23">
                  <c:v>194.4</c:v>
                </c:pt>
                <c:pt idx="24">
                  <c:v>32.4</c:v>
                </c:pt>
                <c:pt idx="25">
                  <c:v>102.6</c:v>
                </c:pt>
                <c:pt idx="26">
                  <c:v>70.2</c:v>
                </c:pt>
                <c:pt idx="27">
                  <c:v>18</c:v>
                </c:pt>
                <c:pt idx="28">
                  <c:v>243</c:v>
                </c:pt>
                <c:pt idx="29">
                  <c:v>59.400000000000006</c:v>
                </c:pt>
                <c:pt idx="30">
                  <c:v>86.4</c:v>
                </c:pt>
                <c:pt idx="31">
                  <c:v>199.8</c:v>
                </c:pt>
                <c:pt idx="32">
                  <c:v>16.2</c:v>
                </c:pt>
                <c:pt idx="33">
                  <c:v>111.60000000000001</c:v>
                </c:pt>
                <c:pt idx="34">
                  <c:v>113.4</c:v>
                </c:pt>
                <c:pt idx="35">
                  <c:v>66.857142857142861</c:v>
                </c:pt>
                <c:pt idx="36">
                  <c:v>148.96551724137933</c:v>
                </c:pt>
                <c:pt idx="37">
                  <c:v>156.6</c:v>
                </c:pt>
                <c:pt idx="38">
                  <c:v>36</c:v>
                </c:pt>
                <c:pt idx="39">
                  <c:v>205.2</c:v>
                </c:pt>
                <c:pt idx="40">
                  <c:v>102.6</c:v>
                </c:pt>
                <c:pt idx="41">
                  <c:v>75.599999999999994</c:v>
                </c:pt>
                <c:pt idx="42">
                  <c:v>97.2</c:v>
                </c:pt>
                <c:pt idx="43">
                  <c:v>205.2</c:v>
                </c:pt>
                <c:pt idx="44">
                  <c:v>57.6</c:v>
                </c:pt>
                <c:pt idx="45">
                  <c:v>232.2</c:v>
                </c:pt>
                <c:pt idx="46">
                  <c:v>-16.2</c:v>
                </c:pt>
                <c:pt idx="47">
                  <c:v>97.2</c:v>
                </c:pt>
                <c:pt idx="48">
                  <c:v>205.2</c:v>
                </c:pt>
                <c:pt idx="49">
                  <c:v>162</c:v>
                </c:pt>
                <c:pt idx="50">
                  <c:v>86.4</c:v>
                </c:pt>
                <c:pt idx="51">
                  <c:v>183.6</c:v>
                </c:pt>
                <c:pt idx="52">
                  <c:v>140.4</c:v>
                </c:pt>
                <c:pt idx="53">
                  <c:v>115.2</c:v>
                </c:pt>
                <c:pt idx="54">
                  <c:v>162</c:v>
                </c:pt>
                <c:pt idx="55">
                  <c:v>194.4</c:v>
                </c:pt>
                <c:pt idx="56">
                  <c:v>93.600000000000009</c:v>
                </c:pt>
                <c:pt idx="57">
                  <c:v>194.4</c:v>
                </c:pt>
                <c:pt idx="58">
                  <c:v>178.2</c:v>
                </c:pt>
                <c:pt idx="59">
                  <c:v>104.4</c:v>
                </c:pt>
                <c:pt idx="60">
                  <c:v>194.4</c:v>
                </c:pt>
                <c:pt idx="61">
                  <c:v>145.80000000000001</c:v>
                </c:pt>
                <c:pt idx="62">
                  <c:v>126.00000000000001</c:v>
                </c:pt>
                <c:pt idx="63">
                  <c:v>172.8</c:v>
                </c:pt>
                <c:pt idx="64">
                  <c:v>172.8</c:v>
                </c:pt>
                <c:pt idx="65">
                  <c:v>133.20000000000002</c:v>
                </c:pt>
                <c:pt idx="66">
                  <c:v>199.8</c:v>
                </c:pt>
                <c:pt idx="67">
                  <c:v>172.8</c:v>
                </c:pt>
                <c:pt idx="68">
                  <c:v>144</c:v>
                </c:pt>
                <c:pt idx="69">
                  <c:v>178.2</c:v>
                </c:pt>
                <c:pt idx="70">
                  <c:v>178.2</c:v>
                </c:pt>
                <c:pt idx="71">
                  <c:v>90</c:v>
                </c:pt>
                <c:pt idx="72">
                  <c:v>167.4</c:v>
                </c:pt>
                <c:pt idx="73">
                  <c:v>86.4</c:v>
                </c:pt>
                <c:pt idx="74">
                  <c:v>124.19999999999999</c:v>
                </c:pt>
                <c:pt idx="75">
                  <c:v>129.6</c:v>
                </c:pt>
                <c:pt idx="76">
                  <c:v>64.8</c:v>
                </c:pt>
                <c:pt idx="77">
                  <c:v>108</c:v>
                </c:pt>
                <c:pt idx="78">
                  <c:v>91.8</c:v>
                </c:pt>
                <c:pt idx="79">
                  <c:v>97.714285714285708</c:v>
                </c:pt>
                <c:pt idx="80">
                  <c:v>63.310344827586199</c:v>
                </c:pt>
                <c:pt idx="81">
                  <c:v>86.4</c:v>
                </c:pt>
                <c:pt idx="82">
                  <c:v>39.599999999999994</c:v>
                </c:pt>
                <c:pt idx="83">
                  <c:v>81</c:v>
                </c:pt>
                <c:pt idx="84">
                  <c:v>54</c:v>
                </c:pt>
                <c:pt idx="85">
                  <c:v>43.2</c:v>
                </c:pt>
                <c:pt idx="86">
                  <c:v>48.6</c:v>
                </c:pt>
                <c:pt idx="87">
                  <c:v>59.400000000000006</c:v>
                </c:pt>
                <c:pt idx="88">
                  <c:v>25.2</c:v>
                </c:pt>
                <c:pt idx="89">
                  <c:v>59.400000000000006</c:v>
                </c:pt>
                <c:pt idx="90">
                  <c:v>21.6</c:v>
                </c:pt>
                <c:pt idx="91">
                  <c:v>36</c:v>
                </c:pt>
                <c:pt idx="92">
                  <c:v>16.2</c:v>
                </c:pt>
                <c:pt idx="93">
                  <c:v>27</c:v>
                </c:pt>
                <c:pt idx="94">
                  <c:v>21.6</c:v>
                </c:pt>
                <c:pt idx="95">
                  <c:v>27</c:v>
                </c:pt>
                <c:pt idx="96">
                  <c:v>10.8</c:v>
                </c:pt>
                <c:pt idx="97">
                  <c:v>-3.6</c:v>
                </c:pt>
                <c:pt idx="98">
                  <c:v>27</c:v>
                </c:pt>
                <c:pt idx="99">
                  <c:v>5.1428571428571423</c:v>
                </c:pt>
                <c:pt idx="100">
                  <c:v>3.7241379310344827</c:v>
                </c:pt>
                <c:pt idx="101">
                  <c:v>5.4</c:v>
                </c:pt>
                <c:pt idx="102">
                  <c:v>-10.8</c:v>
                </c:pt>
                <c:pt idx="103">
                  <c:v>3.6</c:v>
                </c:pt>
                <c:pt idx="104">
                  <c:v>5.4</c:v>
                </c:pt>
                <c:pt idx="105">
                  <c:v>0</c:v>
                </c:pt>
                <c:pt idx="106">
                  <c:v>0</c:v>
                </c:pt>
                <c:pt idx="107">
                  <c:v>10.8</c:v>
                </c:pt>
                <c:pt idx="108">
                  <c:v>-16.2</c:v>
                </c:pt>
                <c:pt idx="109">
                  <c:v>0</c:v>
                </c:pt>
                <c:pt idx="110">
                  <c:v>-27</c:v>
                </c:pt>
                <c:pt idx="111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B1-4D3D-9BF3-33CECAFC9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6983608"/>
        <c:axId val="646983936"/>
      </c:lineChart>
      <c:catAx>
        <c:axId val="646983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983936"/>
        <c:crosses val="autoZero"/>
        <c:auto val="1"/>
        <c:lblAlgn val="ctr"/>
        <c:lblOffset val="100"/>
        <c:noMultiLvlLbl val="0"/>
      </c:catAx>
      <c:valAx>
        <c:axId val="64698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98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teraterm_180!$G$1:$G$211</c:f>
              <c:numCache>
                <c:formatCode>General</c:formatCode>
                <c:ptCount val="113"/>
                <c:pt idx="0">
                  <c:v>0</c:v>
                </c:pt>
                <c:pt idx="1">
                  <c:v>201.8</c:v>
                </c:pt>
                <c:pt idx="2">
                  <c:v>198.3</c:v>
                </c:pt>
                <c:pt idx="3">
                  <c:v>198.9</c:v>
                </c:pt>
                <c:pt idx="4">
                  <c:v>204.4</c:v>
                </c:pt>
                <c:pt idx="5">
                  <c:v>194.9</c:v>
                </c:pt>
                <c:pt idx="6">
                  <c:v>197.8</c:v>
                </c:pt>
                <c:pt idx="7">
                  <c:v>206.8</c:v>
                </c:pt>
                <c:pt idx="8">
                  <c:v>205</c:v>
                </c:pt>
                <c:pt idx="9">
                  <c:v>198.6</c:v>
                </c:pt>
                <c:pt idx="10">
                  <c:v>205.6</c:v>
                </c:pt>
                <c:pt idx="11">
                  <c:v>204.3</c:v>
                </c:pt>
                <c:pt idx="12">
                  <c:v>204</c:v>
                </c:pt>
                <c:pt idx="13">
                  <c:v>202.2</c:v>
                </c:pt>
                <c:pt idx="14">
                  <c:v>202.4</c:v>
                </c:pt>
                <c:pt idx="15">
                  <c:v>202.1</c:v>
                </c:pt>
                <c:pt idx="16">
                  <c:v>202.1</c:v>
                </c:pt>
                <c:pt idx="17">
                  <c:v>199.9</c:v>
                </c:pt>
                <c:pt idx="18">
                  <c:v>198.5</c:v>
                </c:pt>
                <c:pt idx="19">
                  <c:v>200.1</c:v>
                </c:pt>
                <c:pt idx="20">
                  <c:v>195.8</c:v>
                </c:pt>
                <c:pt idx="21">
                  <c:v>195.7</c:v>
                </c:pt>
                <c:pt idx="22">
                  <c:v>194.3</c:v>
                </c:pt>
                <c:pt idx="23">
                  <c:v>193.3</c:v>
                </c:pt>
                <c:pt idx="24">
                  <c:v>189.7</c:v>
                </c:pt>
                <c:pt idx="25">
                  <c:v>188.8</c:v>
                </c:pt>
                <c:pt idx="26">
                  <c:v>186.9</c:v>
                </c:pt>
                <c:pt idx="27">
                  <c:v>185.6</c:v>
                </c:pt>
                <c:pt idx="28">
                  <c:v>185.1</c:v>
                </c:pt>
                <c:pt idx="29">
                  <c:v>180.6</c:v>
                </c:pt>
                <c:pt idx="30">
                  <c:v>179.5</c:v>
                </c:pt>
                <c:pt idx="31">
                  <c:v>177.1</c:v>
                </c:pt>
                <c:pt idx="32">
                  <c:v>173.4</c:v>
                </c:pt>
                <c:pt idx="33">
                  <c:v>173.1</c:v>
                </c:pt>
                <c:pt idx="34">
                  <c:v>170</c:v>
                </c:pt>
                <c:pt idx="35">
                  <c:v>167.9</c:v>
                </c:pt>
                <c:pt idx="36">
                  <c:v>166.6</c:v>
                </c:pt>
                <c:pt idx="37">
                  <c:v>162.6</c:v>
                </c:pt>
                <c:pt idx="38">
                  <c:v>159.69999999999999</c:v>
                </c:pt>
                <c:pt idx="39">
                  <c:v>158.69999999999999</c:v>
                </c:pt>
                <c:pt idx="40">
                  <c:v>154.9</c:v>
                </c:pt>
                <c:pt idx="41">
                  <c:v>153</c:v>
                </c:pt>
                <c:pt idx="42">
                  <c:v>150.9</c:v>
                </c:pt>
                <c:pt idx="43">
                  <c:v>149.1</c:v>
                </c:pt>
                <c:pt idx="44">
                  <c:v>145.30000000000001</c:v>
                </c:pt>
                <c:pt idx="45">
                  <c:v>143.69999999999999</c:v>
                </c:pt>
                <c:pt idx="46">
                  <c:v>139.4</c:v>
                </c:pt>
                <c:pt idx="47">
                  <c:v>139.69999999999999</c:v>
                </c:pt>
                <c:pt idx="48">
                  <c:v>137</c:v>
                </c:pt>
                <c:pt idx="49">
                  <c:v>133.19999999999999</c:v>
                </c:pt>
                <c:pt idx="50">
                  <c:v>130.19999999999999</c:v>
                </c:pt>
                <c:pt idx="51">
                  <c:v>127.8</c:v>
                </c:pt>
                <c:pt idx="52">
                  <c:v>124.4</c:v>
                </c:pt>
                <c:pt idx="53">
                  <c:v>121.8</c:v>
                </c:pt>
                <c:pt idx="54">
                  <c:v>118.6</c:v>
                </c:pt>
                <c:pt idx="55">
                  <c:v>115.6</c:v>
                </c:pt>
                <c:pt idx="56">
                  <c:v>112</c:v>
                </c:pt>
                <c:pt idx="57">
                  <c:v>109.4</c:v>
                </c:pt>
                <c:pt idx="58">
                  <c:v>105.8</c:v>
                </c:pt>
                <c:pt idx="59">
                  <c:v>102.5</c:v>
                </c:pt>
                <c:pt idx="60">
                  <c:v>99.6</c:v>
                </c:pt>
                <c:pt idx="61">
                  <c:v>96</c:v>
                </c:pt>
                <c:pt idx="62">
                  <c:v>93.3</c:v>
                </c:pt>
                <c:pt idx="63">
                  <c:v>89.8</c:v>
                </c:pt>
                <c:pt idx="64">
                  <c:v>86.6</c:v>
                </c:pt>
                <c:pt idx="65">
                  <c:v>83.4</c:v>
                </c:pt>
                <c:pt idx="66">
                  <c:v>79.7</c:v>
                </c:pt>
                <c:pt idx="67">
                  <c:v>76</c:v>
                </c:pt>
                <c:pt idx="68">
                  <c:v>72.8</c:v>
                </c:pt>
                <c:pt idx="69">
                  <c:v>68.8</c:v>
                </c:pt>
                <c:pt idx="70">
                  <c:v>65.5</c:v>
                </c:pt>
                <c:pt idx="71">
                  <c:v>62.2</c:v>
                </c:pt>
                <c:pt idx="72">
                  <c:v>59.7</c:v>
                </c:pt>
                <c:pt idx="73">
                  <c:v>56.6</c:v>
                </c:pt>
                <c:pt idx="74">
                  <c:v>54.2</c:v>
                </c:pt>
                <c:pt idx="75">
                  <c:v>51.9</c:v>
                </c:pt>
                <c:pt idx="76">
                  <c:v>49.5</c:v>
                </c:pt>
                <c:pt idx="77">
                  <c:v>47.7</c:v>
                </c:pt>
                <c:pt idx="78">
                  <c:v>45.7</c:v>
                </c:pt>
                <c:pt idx="79">
                  <c:v>44</c:v>
                </c:pt>
                <c:pt idx="80">
                  <c:v>42.1</c:v>
                </c:pt>
                <c:pt idx="81">
                  <c:v>40.4</c:v>
                </c:pt>
                <c:pt idx="82">
                  <c:v>38.799999999999997</c:v>
                </c:pt>
                <c:pt idx="83">
                  <c:v>37.700000000000003</c:v>
                </c:pt>
                <c:pt idx="84">
                  <c:v>36.200000000000003</c:v>
                </c:pt>
                <c:pt idx="85">
                  <c:v>35.200000000000003</c:v>
                </c:pt>
                <c:pt idx="86">
                  <c:v>34</c:v>
                </c:pt>
                <c:pt idx="87">
                  <c:v>33.1</c:v>
                </c:pt>
                <c:pt idx="88">
                  <c:v>32</c:v>
                </c:pt>
                <c:pt idx="89">
                  <c:v>31.3</c:v>
                </c:pt>
                <c:pt idx="90">
                  <c:v>30.2</c:v>
                </c:pt>
                <c:pt idx="91">
                  <c:v>29.8</c:v>
                </c:pt>
                <c:pt idx="92">
                  <c:v>28.8</c:v>
                </c:pt>
                <c:pt idx="93">
                  <c:v>28.5</c:v>
                </c:pt>
                <c:pt idx="94">
                  <c:v>28</c:v>
                </c:pt>
                <c:pt idx="95">
                  <c:v>27.4</c:v>
                </c:pt>
                <c:pt idx="96">
                  <c:v>26.9</c:v>
                </c:pt>
                <c:pt idx="97">
                  <c:v>26.7</c:v>
                </c:pt>
                <c:pt idx="98">
                  <c:v>26.8</c:v>
                </c:pt>
                <c:pt idx="99">
                  <c:v>26.3</c:v>
                </c:pt>
                <c:pt idx="100">
                  <c:v>26.2</c:v>
                </c:pt>
                <c:pt idx="101">
                  <c:v>26.1</c:v>
                </c:pt>
                <c:pt idx="102">
                  <c:v>26</c:v>
                </c:pt>
                <c:pt idx="103">
                  <c:v>26.2</c:v>
                </c:pt>
                <c:pt idx="104">
                  <c:v>26.1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25.8</c:v>
                </c:pt>
                <c:pt idx="109">
                  <c:v>26.1</c:v>
                </c:pt>
                <c:pt idx="110">
                  <c:v>26.1</c:v>
                </c:pt>
                <c:pt idx="111">
                  <c:v>26.6</c:v>
                </c:pt>
                <c:pt idx="112">
                  <c:v>26.1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8-4133-994E-361BF192FA1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teraterm_180!$H$1:$H$211</c:f>
            </c:numRef>
          </c:val>
          <c:smooth val="0"/>
          <c:extLst>
            <c:ext xmlns:c16="http://schemas.microsoft.com/office/drawing/2014/chart" uri="{C3380CC4-5D6E-409C-BE32-E72D297353CC}">
              <c16:uniqueId val="{00000001-E008-4133-994E-361BF192FA1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teraterm_180!$I$1:$I$211</c:f>
            </c:numRef>
          </c:val>
          <c:smooth val="0"/>
          <c:extLst>
            <c:ext xmlns:c16="http://schemas.microsoft.com/office/drawing/2014/chart" uri="{C3380CC4-5D6E-409C-BE32-E72D297353CC}">
              <c16:uniqueId val="{00000002-E008-4133-994E-361BF192FA1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teraterm_180!$J$1:$J$211</c:f>
              <c:numCache>
                <c:formatCode>0.00_ </c:formatCode>
                <c:ptCount val="113"/>
                <c:pt idx="0">
                  <c:v>0</c:v>
                </c:pt>
                <c:pt idx="1">
                  <c:v>0</c:v>
                </c:pt>
                <c:pt idx="2">
                  <c:v>189</c:v>
                </c:pt>
                <c:pt idx="3">
                  <c:v>-21.6</c:v>
                </c:pt>
                <c:pt idx="4">
                  <c:v>-297</c:v>
                </c:pt>
                <c:pt idx="5">
                  <c:v>513</c:v>
                </c:pt>
                <c:pt idx="6">
                  <c:v>-156.6</c:v>
                </c:pt>
                <c:pt idx="7">
                  <c:v>-313.54838709677421</c:v>
                </c:pt>
                <c:pt idx="8">
                  <c:v>97.2</c:v>
                </c:pt>
                <c:pt idx="9">
                  <c:v>345.6</c:v>
                </c:pt>
                <c:pt idx="10">
                  <c:v>-252.00000000000003</c:v>
                </c:pt>
                <c:pt idx="11">
                  <c:v>70.2</c:v>
                </c:pt>
                <c:pt idx="12">
                  <c:v>16.2</c:v>
                </c:pt>
                <c:pt idx="13">
                  <c:v>64.8</c:v>
                </c:pt>
                <c:pt idx="14">
                  <c:v>-10.8</c:v>
                </c:pt>
                <c:pt idx="15">
                  <c:v>16.2</c:v>
                </c:pt>
                <c:pt idx="16">
                  <c:v>0</c:v>
                </c:pt>
                <c:pt idx="17">
                  <c:v>118.80000000000001</c:v>
                </c:pt>
                <c:pt idx="18">
                  <c:v>75.599999999999994</c:v>
                </c:pt>
                <c:pt idx="19">
                  <c:v>-57.6</c:v>
                </c:pt>
                <c:pt idx="20">
                  <c:v>232.2</c:v>
                </c:pt>
                <c:pt idx="21">
                  <c:v>5.4</c:v>
                </c:pt>
                <c:pt idx="22">
                  <c:v>50.4</c:v>
                </c:pt>
                <c:pt idx="23">
                  <c:v>54</c:v>
                </c:pt>
                <c:pt idx="24">
                  <c:v>194.4</c:v>
                </c:pt>
                <c:pt idx="25">
                  <c:v>32.4</c:v>
                </c:pt>
                <c:pt idx="26">
                  <c:v>102.6</c:v>
                </c:pt>
                <c:pt idx="27">
                  <c:v>70.2</c:v>
                </c:pt>
                <c:pt idx="28">
                  <c:v>18</c:v>
                </c:pt>
                <c:pt idx="29">
                  <c:v>243</c:v>
                </c:pt>
                <c:pt idx="30">
                  <c:v>59.400000000000006</c:v>
                </c:pt>
                <c:pt idx="31">
                  <c:v>86.4</c:v>
                </c:pt>
                <c:pt idx="32">
                  <c:v>199.8</c:v>
                </c:pt>
                <c:pt idx="33">
                  <c:v>16.2</c:v>
                </c:pt>
                <c:pt idx="34">
                  <c:v>111.60000000000001</c:v>
                </c:pt>
                <c:pt idx="35">
                  <c:v>113.4</c:v>
                </c:pt>
                <c:pt idx="36">
                  <c:v>66.857142857142861</c:v>
                </c:pt>
                <c:pt idx="37">
                  <c:v>148.96551724137933</c:v>
                </c:pt>
                <c:pt idx="38">
                  <c:v>156.6</c:v>
                </c:pt>
                <c:pt idx="39">
                  <c:v>36</c:v>
                </c:pt>
                <c:pt idx="40">
                  <c:v>205.2</c:v>
                </c:pt>
                <c:pt idx="41">
                  <c:v>102.6</c:v>
                </c:pt>
                <c:pt idx="42">
                  <c:v>75.599999999999994</c:v>
                </c:pt>
                <c:pt idx="43">
                  <c:v>97.2</c:v>
                </c:pt>
                <c:pt idx="44">
                  <c:v>205.2</c:v>
                </c:pt>
                <c:pt idx="45">
                  <c:v>57.6</c:v>
                </c:pt>
                <c:pt idx="46">
                  <c:v>232.2</c:v>
                </c:pt>
                <c:pt idx="47">
                  <c:v>-16.2</c:v>
                </c:pt>
                <c:pt idx="48">
                  <c:v>97.2</c:v>
                </c:pt>
                <c:pt idx="49">
                  <c:v>205.2</c:v>
                </c:pt>
                <c:pt idx="50">
                  <c:v>162</c:v>
                </c:pt>
                <c:pt idx="51">
                  <c:v>86.4</c:v>
                </c:pt>
                <c:pt idx="52">
                  <c:v>183.6</c:v>
                </c:pt>
                <c:pt idx="53">
                  <c:v>140.4</c:v>
                </c:pt>
                <c:pt idx="54">
                  <c:v>115.2</c:v>
                </c:pt>
                <c:pt idx="55">
                  <c:v>162</c:v>
                </c:pt>
                <c:pt idx="56">
                  <c:v>194.4</c:v>
                </c:pt>
                <c:pt idx="57">
                  <c:v>93.600000000000009</c:v>
                </c:pt>
                <c:pt idx="58">
                  <c:v>194.4</c:v>
                </c:pt>
                <c:pt idx="59">
                  <c:v>178.2</c:v>
                </c:pt>
                <c:pt idx="60">
                  <c:v>104.4</c:v>
                </c:pt>
                <c:pt idx="61">
                  <c:v>194.4</c:v>
                </c:pt>
                <c:pt idx="62">
                  <c:v>145.80000000000001</c:v>
                </c:pt>
                <c:pt idx="63">
                  <c:v>126.00000000000001</c:v>
                </c:pt>
                <c:pt idx="64">
                  <c:v>172.8</c:v>
                </c:pt>
                <c:pt idx="65">
                  <c:v>172.8</c:v>
                </c:pt>
                <c:pt idx="66">
                  <c:v>133.20000000000002</c:v>
                </c:pt>
                <c:pt idx="67">
                  <c:v>199.8</c:v>
                </c:pt>
                <c:pt idx="68">
                  <c:v>172.8</c:v>
                </c:pt>
                <c:pt idx="69">
                  <c:v>144</c:v>
                </c:pt>
                <c:pt idx="70">
                  <c:v>178.2</c:v>
                </c:pt>
                <c:pt idx="71">
                  <c:v>178.2</c:v>
                </c:pt>
                <c:pt idx="72">
                  <c:v>90</c:v>
                </c:pt>
                <c:pt idx="73">
                  <c:v>167.4</c:v>
                </c:pt>
                <c:pt idx="74">
                  <c:v>86.4</c:v>
                </c:pt>
                <c:pt idx="75">
                  <c:v>124.19999999999999</c:v>
                </c:pt>
                <c:pt idx="76">
                  <c:v>129.6</c:v>
                </c:pt>
                <c:pt idx="77">
                  <c:v>64.8</c:v>
                </c:pt>
                <c:pt idx="78">
                  <c:v>108</c:v>
                </c:pt>
                <c:pt idx="79">
                  <c:v>91.8</c:v>
                </c:pt>
                <c:pt idx="80">
                  <c:v>97.714285714285708</c:v>
                </c:pt>
                <c:pt idx="81">
                  <c:v>63.310344827586199</c:v>
                </c:pt>
                <c:pt idx="82">
                  <c:v>86.4</c:v>
                </c:pt>
                <c:pt idx="83">
                  <c:v>39.599999999999994</c:v>
                </c:pt>
                <c:pt idx="84">
                  <c:v>81</c:v>
                </c:pt>
                <c:pt idx="85">
                  <c:v>54</c:v>
                </c:pt>
                <c:pt idx="86">
                  <c:v>43.2</c:v>
                </c:pt>
                <c:pt idx="87">
                  <c:v>48.6</c:v>
                </c:pt>
                <c:pt idx="88">
                  <c:v>59.400000000000006</c:v>
                </c:pt>
                <c:pt idx="89">
                  <c:v>25.2</c:v>
                </c:pt>
                <c:pt idx="90">
                  <c:v>59.400000000000006</c:v>
                </c:pt>
                <c:pt idx="91">
                  <c:v>21.6</c:v>
                </c:pt>
                <c:pt idx="92">
                  <c:v>36</c:v>
                </c:pt>
                <c:pt idx="93">
                  <c:v>16.2</c:v>
                </c:pt>
                <c:pt idx="94">
                  <c:v>27</c:v>
                </c:pt>
                <c:pt idx="95">
                  <c:v>21.6</c:v>
                </c:pt>
                <c:pt idx="96">
                  <c:v>27</c:v>
                </c:pt>
                <c:pt idx="97">
                  <c:v>10.8</c:v>
                </c:pt>
                <c:pt idx="98">
                  <c:v>-3.6</c:v>
                </c:pt>
                <c:pt idx="99">
                  <c:v>27</c:v>
                </c:pt>
                <c:pt idx="100">
                  <c:v>5.1428571428571423</c:v>
                </c:pt>
                <c:pt idx="101">
                  <c:v>3.7241379310344827</c:v>
                </c:pt>
                <c:pt idx="102">
                  <c:v>5.4</c:v>
                </c:pt>
                <c:pt idx="103">
                  <c:v>-10.8</c:v>
                </c:pt>
                <c:pt idx="104">
                  <c:v>3.6</c:v>
                </c:pt>
                <c:pt idx="105">
                  <c:v>5.4</c:v>
                </c:pt>
                <c:pt idx="106">
                  <c:v>0</c:v>
                </c:pt>
                <c:pt idx="107">
                  <c:v>0</c:v>
                </c:pt>
                <c:pt idx="108">
                  <c:v>10.8</c:v>
                </c:pt>
                <c:pt idx="109">
                  <c:v>-16.2</c:v>
                </c:pt>
                <c:pt idx="110">
                  <c:v>0</c:v>
                </c:pt>
                <c:pt idx="111">
                  <c:v>-27</c:v>
                </c:pt>
                <c:pt idx="112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08-4133-994E-361BF192FA14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teraterm_180!$K$1:$K$211</c:f>
              <c:numCache>
                <c:formatCode>General</c:formatCode>
                <c:ptCount val="113"/>
                <c:pt idx="5">
                  <c:v>76.679999999999993</c:v>
                </c:pt>
                <c:pt idx="6">
                  <c:v>45.36</c:v>
                </c:pt>
                <c:pt idx="7">
                  <c:v>-55.149677419354838</c:v>
                </c:pt>
                <c:pt idx="8">
                  <c:v>-31.389677419354836</c:v>
                </c:pt>
                <c:pt idx="9">
                  <c:v>97.130322580645156</c:v>
                </c:pt>
                <c:pt idx="10">
                  <c:v>-55.869677419354844</c:v>
                </c:pt>
                <c:pt idx="11">
                  <c:v>-10.509677419354844</c:v>
                </c:pt>
                <c:pt idx="12">
                  <c:v>55.44</c:v>
                </c:pt>
                <c:pt idx="13">
                  <c:v>48.96</c:v>
                </c:pt>
                <c:pt idx="14">
                  <c:v>-22.320000000000004</c:v>
                </c:pt>
                <c:pt idx="15">
                  <c:v>31.319999999999993</c:v>
                </c:pt>
                <c:pt idx="16">
                  <c:v>17.28</c:v>
                </c:pt>
                <c:pt idx="17">
                  <c:v>37.799999999999997</c:v>
                </c:pt>
                <c:pt idx="18">
                  <c:v>39.96</c:v>
                </c:pt>
                <c:pt idx="19">
                  <c:v>30.6</c:v>
                </c:pt>
                <c:pt idx="20">
                  <c:v>73.8</c:v>
                </c:pt>
                <c:pt idx="21">
                  <c:v>74.88</c:v>
                </c:pt>
                <c:pt idx="22">
                  <c:v>61.2</c:v>
                </c:pt>
                <c:pt idx="23">
                  <c:v>56.879999999999995</c:v>
                </c:pt>
                <c:pt idx="24">
                  <c:v>107.28</c:v>
                </c:pt>
                <c:pt idx="25">
                  <c:v>67.319999999999993</c:v>
                </c:pt>
                <c:pt idx="26">
                  <c:v>86.759999999999991</c:v>
                </c:pt>
                <c:pt idx="27">
                  <c:v>90.72</c:v>
                </c:pt>
                <c:pt idx="28">
                  <c:v>83.52</c:v>
                </c:pt>
                <c:pt idx="29">
                  <c:v>93.24</c:v>
                </c:pt>
                <c:pt idx="30">
                  <c:v>98.640000000000015</c:v>
                </c:pt>
                <c:pt idx="31">
                  <c:v>95.4</c:v>
                </c:pt>
                <c:pt idx="32">
                  <c:v>121.31999999999998</c:v>
                </c:pt>
                <c:pt idx="33">
                  <c:v>120.96</c:v>
                </c:pt>
                <c:pt idx="34">
                  <c:v>94.68</c:v>
                </c:pt>
                <c:pt idx="35">
                  <c:v>105.48000000000002</c:v>
                </c:pt>
                <c:pt idx="36">
                  <c:v>101.57142857142858</c:v>
                </c:pt>
                <c:pt idx="37">
                  <c:v>91.404532019704448</c:v>
                </c:pt>
                <c:pt idx="38">
                  <c:v>119.48453201970445</c:v>
                </c:pt>
                <c:pt idx="39">
                  <c:v>104.36453201970444</c:v>
                </c:pt>
                <c:pt idx="40">
                  <c:v>122.72453201970443</c:v>
                </c:pt>
                <c:pt idx="41">
                  <c:v>129.87310344827586</c:v>
                </c:pt>
                <c:pt idx="42">
                  <c:v>115.2</c:v>
                </c:pt>
                <c:pt idx="43">
                  <c:v>103.32000000000001</c:v>
                </c:pt>
                <c:pt idx="44">
                  <c:v>137.16</c:v>
                </c:pt>
                <c:pt idx="45">
                  <c:v>107.63999999999999</c:v>
                </c:pt>
                <c:pt idx="46">
                  <c:v>133.56</c:v>
                </c:pt>
                <c:pt idx="47">
                  <c:v>115.2</c:v>
                </c:pt>
                <c:pt idx="48">
                  <c:v>115.2</c:v>
                </c:pt>
                <c:pt idx="49">
                  <c:v>115.2</c:v>
                </c:pt>
                <c:pt idx="50">
                  <c:v>136.07999999999998</c:v>
                </c:pt>
                <c:pt idx="51">
                  <c:v>106.92</c:v>
                </c:pt>
                <c:pt idx="52">
                  <c:v>146.88</c:v>
                </c:pt>
                <c:pt idx="53">
                  <c:v>155.52000000000001</c:v>
                </c:pt>
                <c:pt idx="54">
                  <c:v>137.52000000000001</c:v>
                </c:pt>
                <c:pt idx="55">
                  <c:v>137.52000000000001</c:v>
                </c:pt>
                <c:pt idx="56">
                  <c:v>159.12</c:v>
                </c:pt>
                <c:pt idx="57">
                  <c:v>141.12</c:v>
                </c:pt>
                <c:pt idx="58">
                  <c:v>151.92000000000002</c:v>
                </c:pt>
                <c:pt idx="59">
                  <c:v>164.51999999999998</c:v>
                </c:pt>
                <c:pt idx="60">
                  <c:v>152.99999999999997</c:v>
                </c:pt>
                <c:pt idx="61">
                  <c:v>153</c:v>
                </c:pt>
                <c:pt idx="62">
                  <c:v>163.44</c:v>
                </c:pt>
                <c:pt idx="63">
                  <c:v>149.76</c:v>
                </c:pt>
                <c:pt idx="64">
                  <c:v>148.68</c:v>
                </c:pt>
                <c:pt idx="65">
                  <c:v>162.35999999999999</c:v>
                </c:pt>
                <c:pt idx="66">
                  <c:v>150.12000000000003</c:v>
                </c:pt>
                <c:pt idx="67">
                  <c:v>160.92000000000002</c:v>
                </c:pt>
                <c:pt idx="68">
                  <c:v>170.28000000000003</c:v>
                </c:pt>
                <c:pt idx="69">
                  <c:v>164.52</c:v>
                </c:pt>
                <c:pt idx="70">
                  <c:v>165.6</c:v>
                </c:pt>
                <c:pt idx="71">
                  <c:v>174.6</c:v>
                </c:pt>
                <c:pt idx="72">
                  <c:v>152.64000000000001</c:v>
                </c:pt>
                <c:pt idx="73">
                  <c:v>151.56</c:v>
                </c:pt>
                <c:pt idx="74">
                  <c:v>140.04</c:v>
                </c:pt>
                <c:pt idx="75">
                  <c:v>129.24</c:v>
                </c:pt>
                <c:pt idx="76">
                  <c:v>119.51999999999998</c:v>
                </c:pt>
                <c:pt idx="77">
                  <c:v>114.47999999999999</c:v>
                </c:pt>
                <c:pt idx="78">
                  <c:v>102.6</c:v>
                </c:pt>
                <c:pt idx="79">
                  <c:v>103.67999999999999</c:v>
                </c:pt>
                <c:pt idx="80">
                  <c:v>98.382857142857148</c:v>
                </c:pt>
                <c:pt idx="81">
                  <c:v>85.124926108374396</c:v>
                </c:pt>
                <c:pt idx="82">
                  <c:v>89.444926108374403</c:v>
                </c:pt>
                <c:pt idx="83">
                  <c:v>75.764926108374382</c:v>
                </c:pt>
                <c:pt idx="84">
                  <c:v>73.604926108374386</c:v>
                </c:pt>
                <c:pt idx="85">
                  <c:v>64.862068965517238</c:v>
                </c:pt>
                <c:pt idx="86">
                  <c:v>60.839999999999996</c:v>
                </c:pt>
                <c:pt idx="87">
                  <c:v>53.280000000000008</c:v>
                </c:pt>
                <c:pt idx="88">
                  <c:v>57.239999999999995</c:v>
                </c:pt>
                <c:pt idx="89">
                  <c:v>46.08</c:v>
                </c:pt>
                <c:pt idx="90">
                  <c:v>47.160000000000004</c:v>
                </c:pt>
                <c:pt idx="91">
                  <c:v>42.839999999999996</c:v>
                </c:pt>
                <c:pt idx="92">
                  <c:v>40.32</c:v>
                </c:pt>
                <c:pt idx="93">
                  <c:v>31.68</c:v>
                </c:pt>
                <c:pt idx="94">
                  <c:v>32.04</c:v>
                </c:pt>
                <c:pt idx="95">
                  <c:v>24.48</c:v>
                </c:pt>
                <c:pt idx="96">
                  <c:v>25.560000000000002</c:v>
                </c:pt>
                <c:pt idx="97">
                  <c:v>20.520000000000003</c:v>
                </c:pt>
                <c:pt idx="98">
                  <c:v>16.559999999999999</c:v>
                </c:pt>
                <c:pt idx="99">
                  <c:v>16.560000000000002</c:v>
                </c:pt>
                <c:pt idx="100">
                  <c:v>13.268571428571429</c:v>
                </c:pt>
                <c:pt idx="101">
                  <c:v>8.6133990147783255</c:v>
                </c:pt>
                <c:pt idx="102">
                  <c:v>7.5333990147783236</c:v>
                </c:pt>
                <c:pt idx="103">
                  <c:v>6.0933990147783241</c:v>
                </c:pt>
                <c:pt idx="104">
                  <c:v>1.4133990147783249</c:v>
                </c:pt>
                <c:pt idx="105">
                  <c:v>1.4648275862068965</c:v>
                </c:pt>
                <c:pt idx="106">
                  <c:v>0.72</c:v>
                </c:pt>
                <c:pt idx="107">
                  <c:v>-0.36000000000000015</c:v>
                </c:pt>
                <c:pt idx="108">
                  <c:v>3.96</c:v>
                </c:pt>
                <c:pt idx="109">
                  <c:v>0</c:v>
                </c:pt>
                <c:pt idx="110">
                  <c:v>-1.0799999999999996</c:v>
                </c:pt>
                <c:pt idx="111">
                  <c:v>-6.4799999999999995</c:v>
                </c:pt>
                <c:pt idx="112">
                  <c:v>-1.0799999999999996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08-4133-994E-361BF192F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465096"/>
        <c:axId val="623465424"/>
      </c:lineChart>
      <c:catAx>
        <c:axId val="623465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465424"/>
        <c:crosses val="autoZero"/>
        <c:auto val="1"/>
        <c:lblAlgn val="ctr"/>
        <c:lblOffset val="100"/>
        <c:noMultiLvlLbl val="0"/>
      </c:catAx>
      <c:valAx>
        <c:axId val="6234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46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1</xdr:row>
      <xdr:rowOff>4761</xdr:rowOff>
    </xdr:from>
    <xdr:to>
      <xdr:col>23</xdr:col>
      <xdr:colOff>333375</xdr:colOff>
      <xdr:row>31</xdr:row>
      <xdr:rowOff>161924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720035B-872D-4BC2-AD31-378794BC8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166686</xdr:colOff>
      <xdr:row>0</xdr:row>
      <xdr:rowOff>100012</xdr:rowOff>
    </xdr:from>
    <xdr:to>
      <xdr:col>22</xdr:col>
      <xdr:colOff>266699</xdr:colOff>
      <xdr:row>31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93EF450-1DD4-4B63-A542-9052AFC70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11"/>
  <sheetViews>
    <sheetView tabSelected="1" topLeftCell="E1" workbookViewId="0">
      <selection activeCell="J3" sqref="J3"/>
    </sheetView>
  </sheetViews>
  <sheetFormatPr defaultRowHeight="18.75" x14ac:dyDescent="0.4"/>
  <cols>
    <col min="1" max="1" width="28.125" hidden="1" customWidth="1"/>
    <col min="2" max="2" width="0" hidden="1" customWidth="1"/>
    <col min="3" max="4" width="9" hidden="1" customWidth="1"/>
    <col min="6" max="6" width="0" hidden="1" customWidth="1"/>
    <col min="8" max="9" width="9" hidden="1" customWidth="1"/>
    <col min="10" max="10" width="9" style="1"/>
  </cols>
  <sheetData>
    <row r="1" spans="1:11" x14ac:dyDescent="0.4">
      <c r="A1" t="s">
        <v>0</v>
      </c>
      <c r="B1" t="s">
        <v>212</v>
      </c>
      <c r="C1" t="s">
        <v>2</v>
      </c>
      <c r="D1" t="s">
        <v>3</v>
      </c>
      <c r="E1" t="s">
        <v>213</v>
      </c>
      <c r="F1" t="s">
        <v>1</v>
      </c>
      <c r="G1" t="s">
        <v>217</v>
      </c>
      <c r="H1" t="s">
        <v>215</v>
      </c>
      <c r="I1" t="s">
        <v>214</v>
      </c>
      <c r="J1" s="1" t="s">
        <v>216</v>
      </c>
    </row>
    <row r="2" spans="1:11" x14ac:dyDescent="0.4">
      <c r="A2" t="s">
        <v>4</v>
      </c>
      <c r="B2">
        <v>300</v>
      </c>
      <c r="C2">
        <v>300</v>
      </c>
      <c r="D2">
        <v>369035</v>
      </c>
      <c r="E2">
        <v>0</v>
      </c>
      <c r="F2">
        <v>2018</v>
      </c>
      <c r="G2">
        <f>F2/10</f>
        <v>201.8</v>
      </c>
      <c r="H2">
        <v>0</v>
      </c>
      <c r="I2">
        <v>0</v>
      </c>
      <c r="J2" s="1">
        <v>0</v>
      </c>
    </row>
    <row r="3" spans="1:11" x14ac:dyDescent="0.4">
      <c r="A3" t="s">
        <v>5</v>
      </c>
      <c r="B3">
        <v>300</v>
      </c>
      <c r="C3">
        <v>300</v>
      </c>
      <c r="D3">
        <v>369055</v>
      </c>
      <c r="E3">
        <f t="shared" ref="E3:E66" si="0">D3-$D$2</f>
        <v>20</v>
      </c>
      <c r="F3">
        <v>1983</v>
      </c>
      <c r="G3">
        <f t="shared" ref="G3:G66" si="1">F3/10</f>
        <v>198.3</v>
      </c>
      <c r="H3">
        <f>E3-E2</f>
        <v>20</v>
      </c>
      <c r="I3">
        <f t="shared" ref="I3:I66" si="2">F2-F3</f>
        <v>35</v>
      </c>
      <c r="J3" s="1">
        <f>I3/H3*108</f>
        <v>189</v>
      </c>
    </row>
    <row r="4" spans="1:11" x14ac:dyDescent="0.4">
      <c r="A4" t="s">
        <v>6</v>
      </c>
      <c r="B4">
        <v>300</v>
      </c>
      <c r="C4">
        <v>300</v>
      </c>
      <c r="D4">
        <v>369085</v>
      </c>
      <c r="E4">
        <f t="shared" si="0"/>
        <v>50</v>
      </c>
      <c r="F4">
        <v>1989</v>
      </c>
      <c r="G4">
        <f t="shared" si="1"/>
        <v>198.9</v>
      </c>
      <c r="H4">
        <f t="shared" ref="H4:H67" si="3">E4-E3</f>
        <v>30</v>
      </c>
      <c r="I4">
        <f t="shared" si="2"/>
        <v>-6</v>
      </c>
      <c r="J4" s="1">
        <f t="shared" ref="J4:J67" si="4">I4/H4*108</f>
        <v>-21.6</v>
      </c>
    </row>
    <row r="5" spans="1:11" x14ac:dyDescent="0.4">
      <c r="A5" t="s">
        <v>7</v>
      </c>
      <c r="B5">
        <v>300</v>
      </c>
      <c r="C5">
        <v>300</v>
      </c>
      <c r="D5">
        <v>369105</v>
      </c>
      <c r="E5">
        <f t="shared" si="0"/>
        <v>70</v>
      </c>
      <c r="F5">
        <v>2044</v>
      </c>
      <c r="G5">
        <f t="shared" si="1"/>
        <v>204.4</v>
      </c>
      <c r="H5">
        <f t="shared" si="3"/>
        <v>20</v>
      </c>
      <c r="I5">
        <f t="shared" si="2"/>
        <v>-55</v>
      </c>
      <c r="J5" s="1">
        <f t="shared" si="4"/>
        <v>-297</v>
      </c>
    </row>
    <row r="6" spans="1:11" x14ac:dyDescent="0.4">
      <c r="A6" t="s">
        <v>8</v>
      </c>
      <c r="B6">
        <v>300</v>
      </c>
      <c r="C6">
        <v>300</v>
      </c>
      <c r="D6">
        <v>369125</v>
      </c>
      <c r="E6">
        <f t="shared" si="0"/>
        <v>90</v>
      </c>
      <c r="F6">
        <v>1949</v>
      </c>
      <c r="G6">
        <f t="shared" si="1"/>
        <v>194.9</v>
      </c>
      <c r="H6">
        <f t="shared" si="3"/>
        <v>20</v>
      </c>
      <c r="I6">
        <f t="shared" si="2"/>
        <v>95</v>
      </c>
      <c r="J6" s="1">
        <f t="shared" si="4"/>
        <v>513</v>
      </c>
      <c r="K6">
        <f>(SUM(J2:J6)/5)</f>
        <v>76.679999999999993</v>
      </c>
    </row>
    <row r="7" spans="1:11" x14ac:dyDescent="0.4">
      <c r="A7" t="s">
        <v>9</v>
      </c>
      <c r="B7">
        <v>300</v>
      </c>
      <c r="C7">
        <v>300</v>
      </c>
      <c r="D7">
        <v>369145</v>
      </c>
      <c r="E7">
        <f t="shared" si="0"/>
        <v>110</v>
      </c>
      <c r="F7">
        <v>1978</v>
      </c>
      <c r="G7">
        <f t="shared" si="1"/>
        <v>197.8</v>
      </c>
      <c r="H7">
        <f t="shared" si="3"/>
        <v>20</v>
      </c>
      <c r="I7">
        <f t="shared" si="2"/>
        <v>-29</v>
      </c>
      <c r="J7" s="1">
        <f t="shared" si="4"/>
        <v>-156.6</v>
      </c>
      <c r="K7">
        <f t="shared" ref="K7:K70" si="5">(SUM(J3:J7)/5)</f>
        <v>45.36</v>
      </c>
    </row>
    <row r="8" spans="1:11" x14ac:dyDescent="0.4">
      <c r="A8" t="s">
        <v>10</v>
      </c>
      <c r="B8">
        <v>300</v>
      </c>
      <c r="C8">
        <v>300</v>
      </c>
      <c r="D8">
        <v>369176</v>
      </c>
      <c r="E8">
        <f t="shared" si="0"/>
        <v>141</v>
      </c>
      <c r="F8">
        <v>2068</v>
      </c>
      <c r="G8">
        <f t="shared" si="1"/>
        <v>206.8</v>
      </c>
      <c r="H8">
        <f t="shared" si="3"/>
        <v>31</v>
      </c>
      <c r="I8">
        <f t="shared" si="2"/>
        <v>-90</v>
      </c>
      <c r="J8" s="1">
        <f t="shared" si="4"/>
        <v>-313.54838709677421</v>
      </c>
      <c r="K8">
        <f t="shared" si="5"/>
        <v>-55.149677419354838</v>
      </c>
    </row>
    <row r="9" spans="1:11" x14ac:dyDescent="0.4">
      <c r="A9" t="s">
        <v>11</v>
      </c>
      <c r="B9">
        <v>300</v>
      </c>
      <c r="C9">
        <v>300</v>
      </c>
      <c r="D9">
        <v>369196</v>
      </c>
      <c r="E9">
        <f t="shared" si="0"/>
        <v>161</v>
      </c>
      <c r="F9">
        <v>2050</v>
      </c>
      <c r="G9">
        <f t="shared" si="1"/>
        <v>205</v>
      </c>
      <c r="H9">
        <f t="shared" si="3"/>
        <v>20</v>
      </c>
      <c r="I9">
        <f t="shared" si="2"/>
        <v>18</v>
      </c>
      <c r="J9" s="1">
        <f t="shared" si="4"/>
        <v>97.2</v>
      </c>
      <c r="K9">
        <f t="shared" si="5"/>
        <v>-31.389677419354836</v>
      </c>
    </row>
    <row r="10" spans="1:11" x14ac:dyDescent="0.4">
      <c r="A10" t="s">
        <v>12</v>
      </c>
      <c r="B10">
        <v>300</v>
      </c>
      <c r="C10">
        <v>300</v>
      </c>
      <c r="D10">
        <v>369216</v>
      </c>
      <c r="E10">
        <f t="shared" si="0"/>
        <v>181</v>
      </c>
      <c r="F10">
        <v>1986</v>
      </c>
      <c r="G10">
        <f t="shared" si="1"/>
        <v>198.6</v>
      </c>
      <c r="H10">
        <f t="shared" si="3"/>
        <v>20</v>
      </c>
      <c r="I10">
        <f t="shared" si="2"/>
        <v>64</v>
      </c>
      <c r="J10" s="1">
        <f t="shared" si="4"/>
        <v>345.6</v>
      </c>
      <c r="K10">
        <f t="shared" si="5"/>
        <v>97.130322580645156</v>
      </c>
    </row>
    <row r="11" spans="1:11" x14ac:dyDescent="0.4">
      <c r="A11" t="s">
        <v>13</v>
      </c>
      <c r="B11">
        <v>300</v>
      </c>
      <c r="C11">
        <v>300</v>
      </c>
      <c r="D11">
        <v>369246</v>
      </c>
      <c r="E11">
        <f t="shared" si="0"/>
        <v>211</v>
      </c>
      <c r="F11">
        <v>2056</v>
      </c>
      <c r="G11">
        <f t="shared" si="1"/>
        <v>205.6</v>
      </c>
      <c r="H11">
        <f t="shared" si="3"/>
        <v>30</v>
      </c>
      <c r="I11">
        <f t="shared" si="2"/>
        <v>-70</v>
      </c>
      <c r="J11" s="1">
        <f t="shared" si="4"/>
        <v>-252.00000000000003</v>
      </c>
      <c r="K11">
        <f t="shared" si="5"/>
        <v>-55.869677419354844</v>
      </c>
    </row>
    <row r="12" spans="1:11" x14ac:dyDescent="0.4">
      <c r="A12" t="s">
        <v>14</v>
      </c>
      <c r="B12">
        <v>300</v>
      </c>
      <c r="C12">
        <v>300</v>
      </c>
      <c r="D12">
        <v>369266</v>
      </c>
      <c r="E12">
        <f t="shared" si="0"/>
        <v>231</v>
      </c>
      <c r="F12">
        <v>2043</v>
      </c>
      <c r="G12">
        <f t="shared" si="1"/>
        <v>204.3</v>
      </c>
      <c r="H12">
        <f t="shared" si="3"/>
        <v>20</v>
      </c>
      <c r="I12">
        <f t="shared" si="2"/>
        <v>13</v>
      </c>
      <c r="J12" s="1">
        <f t="shared" si="4"/>
        <v>70.2</v>
      </c>
      <c r="K12">
        <f t="shared" si="5"/>
        <v>-10.509677419354844</v>
      </c>
    </row>
    <row r="13" spans="1:11" x14ac:dyDescent="0.4">
      <c r="A13" t="s">
        <v>15</v>
      </c>
      <c r="B13">
        <v>300</v>
      </c>
      <c r="C13">
        <v>300</v>
      </c>
      <c r="D13">
        <v>369286</v>
      </c>
      <c r="E13">
        <f t="shared" si="0"/>
        <v>251</v>
      </c>
      <c r="F13">
        <v>2040</v>
      </c>
      <c r="G13">
        <f t="shared" si="1"/>
        <v>204</v>
      </c>
      <c r="H13">
        <f t="shared" si="3"/>
        <v>20</v>
      </c>
      <c r="I13">
        <f t="shared" si="2"/>
        <v>3</v>
      </c>
      <c r="J13" s="1">
        <f t="shared" si="4"/>
        <v>16.2</v>
      </c>
      <c r="K13">
        <f t="shared" si="5"/>
        <v>55.44</v>
      </c>
    </row>
    <row r="14" spans="1:11" x14ac:dyDescent="0.4">
      <c r="A14" t="s">
        <v>16</v>
      </c>
      <c r="B14">
        <v>300</v>
      </c>
      <c r="C14">
        <v>300</v>
      </c>
      <c r="D14">
        <v>369316</v>
      </c>
      <c r="E14">
        <f t="shared" si="0"/>
        <v>281</v>
      </c>
      <c r="F14">
        <v>2022</v>
      </c>
      <c r="G14">
        <f t="shared" si="1"/>
        <v>202.2</v>
      </c>
      <c r="H14">
        <f t="shared" si="3"/>
        <v>30</v>
      </c>
      <c r="I14">
        <f t="shared" si="2"/>
        <v>18</v>
      </c>
      <c r="J14" s="1">
        <f t="shared" si="4"/>
        <v>64.8</v>
      </c>
      <c r="K14">
        <f t="shared" si="5"/>
        <v>48.96</v>
      </c>
    </row>
    <row r="15" spans="1:11" x14ac:dyDescent="0.4">
      <c r="A15" t="s">
        <v>17</v>
      </c>
      <c r="B15">
        <v>300</v>
      </c>
      <c r="C15">
        <v>300</v>
      </c>
      <c r="D15">
        <v>369336</v>
      </c>
      <c r="E15">
        <f t="shared" si="0"/>
        <v>301</v>
      </c>
      <c r="F15">
        <v>2024</v>
      </c>
      <c r="G15">
        <f t="shared" si="1"/>
        <v>202.4</v>
      </c>
      <c r="H15">
        <f t="shared" si="3"/>
        <v>20</v>
      </c>
      <c r="I15">
        <f t="shared" si="2"/>
        <v>-2</v>
      </c>
      <c r="J15" s="1">
        <f t="shared" si="4"/>
        <v>-10.8</v>
      </c>
      <c r="K15">
        <f t="shared" si="5"/>
        <v>-22.320000000000004</v>
      </c>
    </row>
    <row r="16" spans="1:11" x14ac:dyDescent="0.4">
      <c r="A16" t="s">
        <v>18</v>
      </c>
      <c r="B16">
        <v>300</v>
      </c>
      <c r="C16">
        <v>300</v>
      </c>
      <c r="D16">
        <v>369356</v>
      </c>
      <c r="E16">
        <f t="shared" si="0"/>
        <v>321</v>
      </c>
      <c r="F16">
        <v>2021</v>
      </c>
      <c r="G16">
        <f t="shared" si="1"/>
        <v>202.1</v>
      </c>
      <c r="H16">
        <f t="shared" si="3"/>
        <v>20</v>
      </c>
      <c r="I16">
        <f t="shared" si="2"/>
        <v>3</v>
      </c>
      <c r="J16" s="1">
        <f t="shared" si="4"/>
        <v>16.2</v>
      </c>
      <c r="K16">
        <f t="shared" si="5"/>
        <v>31.319999999999993</v>
      </c>
    </row>
    <row r="17" spans="1:11" x14ac:dyDescent="0.4">
      <c r="A17" t="s">
        <v>19</v>
      </c>
      <c r="B17">
        <v>300</v>
      </c>
      <c r="C17">
        <v>300</v>
      </c>
      <c r="D17">
        <v>369386</v>
      </c>
      <c r="E17">
        <f t="shared" si="0"/>
        <v>351</v>
      </c>
      <c r="F17">
        <v>2021</v>
      </c>
      <c r="G17">
        <f t="shared" si="1"/>
        <v>202.1</v>
      </c>
      <c r="H17">
        <f t="shared" si="3"/>
        <v>30</v>
      </c>
      <c r="I17">
        <f t="shared" si="2"/>
        <v>0</v>
      </c>
      <c r="J17" s="1">
        <f t="shared" si="4"/>
        <v>0</v>
      </c>
      <c r="K17">
        <f t="shared" si="5"/>
        <v>17.28</v>
      </c>
    </row>
    <row r="18" spans="1:11" x14ac:dyDescent="0.4">
      <c r="A18" t="s">
        <v>20</v>
      </c>
      <c r="B18">
        <v>300</v>
      </c>
      <c r="C18">
        <v>300</v>
      </c>
      <c r="D18">
        <v>369406</v>
      </c>
      <c r="E18">
        <f t="shared" si="0"/>
        <v>371</v>
      </c>
      <c r="F18">
        <v>1999</v>
      </c>
      <c r="G18">
        <f t="shared" si="1"/>
        <v>199.9</v>
      </c>
      <c r="H18">
        <f t="shared" si="3"/>
        <v>20</v>
      </c>
      <c r="I18">
        <f t="shared" si="2"/>
        <v>22</v>
      </c>
      <c r="J18" s="1">
        <f t="shared" si="4"/>
        <v>118.80000000000001</v>
      </c>
      <c r="K18">
        <f t="shared" si="5"/>
        <v>37.799999999999997</v>
      </c>
    </row>
    <row r="19" spans="1:11" x14ac:dyDescent="0.4">
      <c r="A19" t="s">
        <v>21</v>
      </c>
      <c r="B19">
        <v>300</v>
      </c>
      <c r="C19">
        <v>300</v>
      </c>
      <c r="D19">
        <v>369426</v>
      </c>
      <c r="E19">
        <f t="shared" si="0"/>
        <v>391</v>
      </c>
      <c r="F19">
        <v>1985</v>
      </c>
      <c r="G19">
        <f t="shared" si="1"/>
        <v>198.5</v>
      </c>
      <c r="H19">
        <f t="shared" si="3"/>
        <v>20</v>
      </c>
      <c r="I19">
        <f t="shared" si="2"/>
        <v>14</v>
      </c>
      <c r="J19" s="1">
        <f t="shared" si="4"/>
        <v>75.599999999999994</v>
      </c>
      <c r="K19">
        <f t="shared" si="5"/>
        <v>39.96</v>
      </c>
    </row>
    <row r="20" spans="1:11" x14ac:dyDescent="0.4">
      <c r="A20" t="s">
        <v>22</v>
      </c>
      <c r="B20">
        <v>300</v>
      </c>
      <c r="C20">
        <v>300</v>
      </c>
      <c r="D20">
        <v>369456</v>
      </c>
      <c r="E20">
        <f t="shared" si="0"/>
        <v>421</v>
      </c>
      <c r="F20">
        <v>2001</v>
      </c>
      <c r="G20">
        <f t="shared" si="1"/>
        <v>200.1</v>
      </c>
      <c r="H20">
        <f t="shared" si="3"/>
        <v>30</v>
      </c>
      <c r="I20">
        <f t="shared" si="2"/>
        <v>-16</v>
      </c>
      <c r="J20" s="1">
        <f t="shared" si="4"/>
        <v>-57.6</v>
      </c>
      <c r="K20">
        <f t="shared" si="5"/>
        <v>30.6</v>
      </c>
    </row>
    <row r="21" spans="1:11" x14ac:dyDescent="0.4">
      <c r="A21" t="s">
        <v>23</v>
      </c>
      <c r="B21">
        <v>300</v>
      </c>
      <c r="C21">
        <v>300</v>
      </c>
      <c r="D21">
        <v>369476</v>
      </c>
      <c r="E21">
        <f t="shared" si="0"/>
        <v>441</v>
      </c>
      <c r="F21">
        <v>1958</v>
      </c>
      <c r="G21">
        <f t="shared" si="1"/>
        <v>195.8</v>
      </c>
      <c r="H21">
        <f t="shared" si="3"/>
        <v>20</v>
      </c>
      <c r="I21">
        <f t="shared" si="2"/>
        <v>43</v>
      </c>
      <c r="J21" s="1">
        <f t="shared" si="4"/>
        <v>232.2</v>
      </c>
      <c r="K21">
        <f t="shared" si="5"/>
        <v>73.8</v>
      </c>
    </row>
    <row r="22" spans="1:11" x14ac:dyDescent="0.4">
      <c r="A22" t="s">
        <v>24</v>
      </c>
      <c r="B22">
        <v>300</v>
      </c>
      <c r="C22">
        <v>300</v>
      </c>
      <c r="D22">
        <v>369496</v>
      </c>
      <c r="E22">
        <f t="shared" si="0"/>
        <v>461</v>
      </c>
      <c r="F22">
        <v>1957</v>
      </c>
      <c r="G22">
        <f t="shared" si="1"/>
        <v>195.7</v>
      </c>
      <c r="H22">
        <f t="shared" si="3"/>
        <v>20</v>
      </c>
      <c r="I22">
        <f t="shared" si="2"/>
        <v>1</v>
      </c>
      <c r="J22" s="1">
        <f t="shared" si="4"/>
        <v>5.4</v>
      </c>
      <c r="K22">
        <f t="shared" si="5"/>
        <v>74.88</v>
      </c>
    </row>
    <row r="23" spans="1:11" x14ac:dyDescent="0.4">
      <c r="A23" t="s">
        <v>25</v>
      </c>
      <c r="B23">
        <v>300</v>
      </c>
      <c r="C23">
        <v>300</v>
      </c>
      <c r="D23">
        <v>369526</v>
      </c>
      <c r="E23">
        <f t="shared" si="0"/>
        <v>491</v>
      </c>
      <c r="F23">
        <v>1943</v>
      </c>
      <c r="G23">
        <f t="shared" si="1"/>
        <v>194.3</v>
      </c>
      <c r="H23">
        <f t="shared" si="3"/>
        <v>30</v>
      </c>
      <c r="I23">
        <f t="shared" si="2"/>
        <v>14</v>
      </c>
      <c r="J23" s="1">
        <f t="shared" si="4"/>
        <v>50.4</v>
      </c>
      <c r="K23">
        <f t="shared" si="5"/>
        <v>61.2</v>
      </c>
    </row>
    <row r="24" spans="1:11" x14ac:dyDescent="0.4">
      <c r="A24" t="s">
        <v>26</v>
      </c>
      <c r="B24">
        <v>300</v>
      </c>
      <c r="C24">
        <v>300</v>
      </c>
      <c r="D24">
        <v>369546</v>
      </c>
      <c r="E24">
        <f t="shared" si="0"/>
        <v>511</v>
      </c>
      <c r="F24">
        <v>1933</v>
      </c>
      <c r="G24">
        <f t="shared" si="1"/>
        <v>193.3</v>
      </c>
      <c r="H24">
        <f t="shared" si="3"/>
        <v>20</v>
      </c>
      <c r="I24">
        <f t="shared" si="2"/>
        <v>10</v>
      </c>
      <c r="J24" s="1">
        <f t="shared" si="4"/>
        <v>54</v>
      </c>
      <c r="K24">
        <f t="shared" si="5"/>
        <v>56.879999999999995</v>
      </c>
    </row>
    <row r="25" spans="1:11" x14ac:dyDescent="0.4">
      <c r="A25" t="s">
        <v>27</v>
      </c>
      <c r="B25">
        <v>300</v>
      </c>
      <c r="C25">
        <v>300</v>
      </c>
      <c r="D25">
        <v>369566</v>
      </c>
      <c r="E25">
        <f t="shared" si="0"/>
        <v>531</v>
      </c>
      <c r="F25">
        <v>1897</v>
      </c>
      <c r="G25">
        <f t="shared" si="1"/>
        <v>189.7</v>
      </c>
      <c r="H25">
        <f t="shared" si="3"/>
        <v>20</v>
      </c>
      <c r="I25">
        <f t="shared" si="2"/>
        <v>36</v>
      </c>
      <c r="J25" s="1">
        <f t="shared" si="4"/>
        <v>194.4</v>
      </c>
      <c r="K25">
        <f t="shared" si="5"/>
        <v>107.28</v>
      </c>
    </row>
    <row r="26" spans="1:11" x14ac:dyDescent="0.4">
      <c r="A26" t="s">
        <v>28</v>
      </c>
      <c r="B26">
        <v>300</v>
      </c>
      <c r="C26">
        <v>300</v>
      </c>
      <c r="D26">
        <v>369596</v>
      </c>
      <c r="E26">
        <f t="shared" si="0"/>
        <v>561</v>
      </c>
      <c r="F26">
        <v>1888</v>
      </c>
      <c r="G26">
        <f t="shared" si="1"/>
        <v>188.8</v>
      </c>
      <c r="H26">
        <f t="shared" si="3"/>
        <v>30</v>
      </c>
      <c r="I26">
        <f t="shared" si="2"/>
        <v>9</v>
      </c>
      <c r="J26" s="1">
        <f t="shared" si="4"/>
        <v>32.4</v>
      </c>
      <c r="K26">
        <f t="shared" si="5"/>
        <v>67.319999999999993</v>
      </c>
    </row>
    <row r="27" spans="1:11" x14ac:dyDescent="0.4">
      <c r="A27" t="s">
        <v>29</v>
      </c>
      <c r="B27">
        <v>300</v>
      </c>
      <c r="C27">
        <v>300</v>
      </c>
      <c r="D27">
        <v>369616</v>
      </c>
      <c r="E27">
        <f t="shared" si="0"/>
        <v>581</v>
      </c>
      <c r="F27">
        <v>1869</v>
      </c>
      <c r="G27">
        <f t="shared" si="1"/>
        <v>186.9</v>
      </c>
      <c r="H27">
        <f t="shared" si="3"/>
        <v>20</v>
      </c>
      <c r="I27">
        <f t="shared" si="2"/>
        <v>19</v>
      </c>
      <c r="J27" s="1">
        <f t="shared" si="4"/>
        <v>102.6</v>
      </c>
      <c r="K27">
        <f t="shared" si="5"/>
        <v>86.759999999999991</v>
      </c>
    </row>
    <row r="28" spans="1:11" x14ac:dyDescent="0.4">
      <c r="A28" t="s">
        <v>30</v>
      </c>
      <c r="B28">
        <v>300</v>
      </c>
      <c r="C28">
        <v>300</v>
      </c>
      <c r="D28">
        <v>369636</v>
      </c>
      <c r="E28">
        <f t="shared" si="0"/>
        <v>601</v>
      </c>
      <c r="F28">
        <v>1856</v>
      </c>
      <c r="G28">
        <f t="shared" si="1"/>
        <v>185.6</v>
      </c>
      <c r="H28">
        <f t="shared" si="3"/>
        <v>20</v>
      </c>
      <c r="I28">
        <f t="shared" si="2"/>
        <v>13</v>
      </c>
      <c r="J28" s="1">
        <f t="shared" si="4"/>
        <v>70.2</v>
      </c>
      <c r="K28">
        <f t="shared" si="5"/>
        <v>90.72</v>
      </c>
    </row>
    <row r="29" spans="1:11" x14ac:dyDescent="0.4">
      <c r="A29" t="s">
        <v>31</v>
      </c>
      <c r="B29">
        <v>300</v>
      </c>
      <c r="C29">
        <v>300</v>
      </c>
      <c r="D29">
        <v>369666</v>
      </c>
      <c r="E29">
        <f t="shared" si="0"/>
        <v>631</v>
      </c>
      <c r="F29">
        <v>1851</v>
      </c>
      <c r="G29">
        <f t="shared" si="1"/>
        <v>185.1</v>
      </c>
      <c r="H29">
        <f t="shared" si="3"/>
        <v>30</v>
      </c>
      <c r="I29">
        <f t="shared" si="2"/>
        <v>5</v>
      </c>
      <c r="J29" s="1">
        <f t="shared" si="4"/>
        <v>18</v>
      </c>
      <c r="K29">
        <f t="shared" si="5"/>
        <v>83.52</v>
      </c>
    </row>
    <row r="30" spans="1:11" x14ac:dyDescent="0.4">
      <c r="A30" t="s">
        <v>32</v>
      </c>
      <c r="B30">
        <v>300</v>
      </c>
      <c r="C30">
        <v>300</v>
      </c>
      <c r="D30">
        <v>369686</v>
      </c>
      <c r="E30">
        <f t="shared" si="0"/>
        <v>651</v>
      </c>
      <c r="F30">
        <v>1806</v>
      </c>
      <c r="G30">
        <f t="shared" si="1"/>
        <v>180.6</v>
      </c>
      <c r="H30">
        <f t="shared" si="3"/>
        <v>20</v>
      </c>
      <c r="I30">
        <f t="shared" si="2"/>
        <v>45</v>
      </c>
      <c r="J30" s="1">
        <f t="shared" si="4"/>
        <v>243</v>
      </c>
      <c r="K30">
        <f t="shared" si="5"/>
        <v>93.24</v>
      </c>
    </row>
    <row r="31" spans="1:11" x14ac:dyDescent="0.4">
      <c r="A31" t="s">
        <v>33</v>
      </c>
      <c r="B31">
        <v>300</v>
      </c>
      <c r="C31">
        <v>300</v>
      </c>
      <c r="D31">
        <v>369706</v>
      </c>
      <c r="E31">
        <f t="shared" si="0"/>
        <v>671</v>
      </c>
      <c r="F31">
        <v>1795</v>
      </c>
      <c r="G31">
        <f t="shared" si="1"/>
        <v>179.5</v>
      </c>
      <c r="H31">
        <f t="shared" si="3"/>
        <v>20</v>
      </c>
      <c r="I31">
        <f t="shared" si="2"/>
        <v>11</v>
      </c>
      <c r="J31" s="1">
        <f t="shared" si="4"/>
        <v>59.400000000000006</v>
      </c>
      <c r="K31">
        <f t="shared" si="5"/>
        <v>98.640000000000015</v>
      </c>
    </row>
    <row r="32" spans="1:11" x14ac:dyDescent="0.4">
      <c r="A32" t="s">
        <v>34</v>
      </c>
      <c r="B32">
        <v>300</v>
      </c>
      <c r="C32">
        <v>300</v>
      </c>
      <c r="D32">
        <v>369736</v>
      </c>
      <c r="E32">
        <f t="shared" si="0"/>
        <v>701</v>
      </c>
      <c r="F32">
        <v>1771</v>
      </c>
      <c r="G32">
        <f t="shared" si="1"/>
        <v>177.1</v>
      </c>
      <c r="H32">
        <f t="shared" si="3"/>
        <v>30</v>
      </c>
      <c r="I32">
        <f t="shared" si="2"/>
        <v>24</v>
      </c>
      <c r="J32" s="1">
        <f t="shared" si="4"/>
        <v>86.4</v>
      </c>
      <c r="K32">
        <f t="shared" si="5"/>
        <v>95.4</v>
      </c>
    </row>
    <row r="33" spans="1:11" x14ac:dyDescent="0.4">
      <c r="A33" t="s">
        <v>35</v>
      </c>
      <c r="B33">
        <v>300</v>
      </c>
      <c r="C33">
        <v>300</v>
      </c>
      <c r="D33">
        <v>369756</v>
      </c>
      <c r="E33">
        <f t="shared" si="0"/>
        <v>721</v>
      </c>
      <c r="F33">
        <v>1734</v>
      </c>
      <c r="G33">
        <f t="shared" si="1"/>
        <v>173.4</v>
      </c>
      <c r="H33">
        <f t="shared" si="3"/>
        <v>20</v>
      </c>
      <c r="I33">
        <f t="shared" si="2"/>
        <v>37</v>
      </c>
      <c r="J33" s="1">
        <f t="shared" si="4"/>
        <v>199.8</v>
      </c>
      <c r="K33">
        <f t="shared" si="5"/>
        <v>121.31999999999998</v>
      </c>
    </row>
    <row r="34" spans="1:11" x14ac:dyDescent="0.4">
      <c r="A34" t="s">
        <v>36</v>
      </c>
      <c r="B34">
        <v>300</v>
      </c>
      <c r="C34">
        <v>300</v>
      </c>
      <c r="D34">
        <v>369776</v>
      </c>
      <c r="E34">
        <f t="shared" si="0"/>
        <v>741</v>
      </c>
      <c r="F34">
        <v>1731</v>
      </c>
      <c r="G34">
        <f t="shared" si="1"/>
        <v>173.1</v>
      </c>
      <c r="H34">
        <f t="shared" si="3"/>
        <v>20</v>
      </c>
      <c r="I34">
        <f t="shared" si="2"/>
        <v>3</v>
      </c>
      <c r="J34" s="1">
        <f t="shared" si="4"/>
        <v>16.2</v>
      </c>
      <c r="K34">
        <f t="shared" si="5"/>
        <v>120.96</v>
      </c>
    </row>
    <row r="35" spans="1:11" x14ac:dyDescent="0.4">
      <c r="A35" t="s">
        <v>37</v>
      </c>
      <c r="B35">
        <v>300</v>
      </c>
      <c r="C35">
        <v>300</v>
      </c>
      <c r="D35">
        <v>369806</v>
      </c>
      <c r="E35">
        <f t="shared" si="0"/>
        <v>771</v>
      </c>
      <c r="F35">
        <v>1700</v>
      </c>
      <c r="G35">
        <f t="shared" si="1"/>
        <v>170</v>
      </c>
      <c r="H35">
        <f t="shared" si="3"/>
        <v>30</v>
      </c>
      <c r="I35">
        <f t="shared" si="2"/>
        <v>31</v>
      </c>
      <c r="J35" s="1">
        <f t="shared" si="4"/>
        <v>111.60000000000001</v>
      </c>
      <c r="K35">
        <f t="shared" si="5"/>
        <v>94.68</v>
      </c>
    </row>
    <row r="36" spans="1:11" x14ac:dyDescent="0.4">
      <c r="A36" t="s">
        <v>38</v>
      </c>
      <c r="B36">
        <v>300</v>
      </c>
      <c r="C36">
        <v>300</v>
      </c>
      <c r="D36">
        <v>369826</v>
      </c>
      <c r="E36">
        <f t="shared" si="0"/>
        <v>791</v>
      </c>
      <c r="F36">
        <v>1679</v>
      </c>
      <c r="G36">
        <f t="shared" si="1"/>
        <v>167.9</v>
      </c>
      <c r="H36">
        <f t="shared" si="3"/>
        <v>20</v>
      </c>
      <c r="I36">
        <f t="shared" si="2"/>
        <v>21</v>
      </c>
      <c r="J36" s="1">
        <f t="shared" si="4"/>
        <v>113.4</v>
      </c>
      <c r="K36">
        <f t="shared" si="5"/>
        <v>105.48000000000002</v>
      </c>
    </row>
    <row r="37" spans="1:11" x14ac:dyDescent="0.4">
      <c r="A37" t="s">
        <v>39</v>
      </c>
      <c r="B37">
        <v>300</v>
      </c>
      <c r="C37">
        <v>300</v>
      </c>
      <c r="D37">
        <v>369847</v>
      </c>
      <c r="E37">
        <f t="shared" si="0"/>
        <v>812</v>
      </c>
      <c r="F37">
        <v>1666</v>
      </c>
      <c r="G37">
        <f t="shared" si="1"/>
        <v>166.6</v>
      </c>
      <c r="H37">
        <f t="shared" si="3"/>
        <v>21</v>
      </c>
      <c r="I37">
        <f t="shared" si="2"/>
        <v>13</v>
      </c>
      <c r="J37" s="1">
        <f t="shared" si="4"/>
        <v>66.857142857142861</v>
      </c>
      <c r="K37">
        <f t="shared" si="5"/>
        <v>101.57142857142858</v>
      </c>
    </row>
    <row r="38" spans="1:11" x14ac:dyDescent="0.4">
      <c r="A38" t="s">
        <v>40</v>
      </c>
      <c r="B38">
        <v>300</v>
      </c>
      <c r="C38">
        <v>300</v>
      </c>
      <c r="D38">
        <v>369876</v>
      </c>
      <c r="E38">
        <f t="shared" si="0"/>
        <v>841</v>
      </c>
      <c r="F38">
        <v>1626</v>
      </c>
      <c r="G38">
        <f t="shared" si="1"/>
        <v>162.6</v>
      </c>
      <c r="H38">
        <f t="shared" si="3"/>
        <v>29</v>
      </c>
      <c r="I38">
        <f t="shared" si="2"/>
        <v>40</v>
      </c>
      <c r="J38" s="1">
        <f t="shared" si="4"/>
        <v>148.96551724137933</v>
      </c>
      <c r="K38">
        <f t="shared" si="5"/>
        <v>91.404532019704448</v>
      </c>
    </row>
    <row r="39" spans="1:11" x14ac:dyDescent="0.4">
      <c r="A39" t="s">
        <v>41</v>
      </c>
      <c r="B39">
        <v>300</v>
      </c>
      <c r="C39">
        <v>300</v>
      </c>
      <c r="D39">
        <v>369896</v>
      </c>
      <c r="E39">
        <f t="shared" si="0"/>
        <v>861</v>
      </c>
      <c r="F39">
        <v>1597</v>
      </c>
      <c r="G39">
        <f t="shared" si="1"/>
        <v>159.69999999999999</v>
      </c>
      <c r="H39">
        <f t="shared" si="3"/>
        <v>20</v>
      </c>
      <c r="I39">
        <f t="shared" si="2"/>
        <v>29</v>
      </c>
      <c r="J39" s="1">
        <f t="shared" si="4"/>
        <v>156.6</v>
      </c>
      <c r="K39">
        <f t="shared" si="5"/>
        <v>119.48453201970445</v>
      </c>
    </row>
    <row r="40" spans="1:11" x14ac:dyDescent="0.4">
      <c r="A40" t="s">
        <v>42</v>
      </c>
      <c r="B40">
        <v>287</v>
      </c>
      <c r="C40">
        <v>300</v>
      </c>
      <c r="D40">
        <v>369926</v>
      </c>
      <c r="E40">
        <f t="shared" si="0"/>
        <v>891</v>
      </c>
      <c r="F40">
        <v>1587</v>
      </c>
      <c r="G40">
        <f t="shared" si="1"/>
        <v>158.69999999999999</v>
      </c>
      <c r="H40">
        <f t="shared" si="3"/>
        <v>30</v>
      </c>
      <c r="I40">
        <f t="shared" si="2"/>
        <v>10</v>
      </c>
      <c r="J40" s="1">
        <f t="shared" si="4"/>
        <v>36</v>
      </c>
      <c r="K40">
        <f t="shared" si="5"/>
        <v>104.36453201970444</v>
      </c>
    </row>
    <row r="41" spans="1:11" x14ac:dyDescent="0.4">
      <c r="A41" t="s">
        <v>43</v>
      </c>
      <c r="B41">
        <v>288</v>
      </c>
      <c r="C41">
        <v>300</v>
      </c>
      <c r="D41">
        <v>369946</v>
      </c>
      <c r="E41">
        <f t="shared" si="0"/>
        <v>911</v>
      </c>
      <c r="F41">
        <v>1549</v>
      </c>
      <c r="G41">
        <f t="shared" si="1"/>
        <v>154.9</v>
      </c>
      <c r="H41">
        <f t="shared" si="3"/>
        <v>20</v>
      </c>
      <c r="I41">
        <f t="shared" si="2"/>
        <v>38</v>
      </c>
      <c r="J41" s="1">
        <f t="shared" si="4"/>
        <v>205.2</v>
      </c>
      <c r="K41">
        <f t="shared" si="5"/>
        <v>122.72453201970443</v>
      </c>
    </row>
    <row r="42" spans="1:11" x14ac:dyDescent="0.4">
      <c r="A42" t="s">
        <v>44</v>
      </c>
      <c r="B42">
        <v>286</v>
      </c>
      <c r="C42">
        <v>300</v>
      </c>
      <c r="D42">
        <v>369966</v>
      </c>
      <c r="E42">
        <f t="shared" si="0"/>
        <v>931</v>
      </c>
      <c r="F42">
        <v>1530</v>
      </c>
      <c r="G42">
        <f t="shared" si="1"/>
        <v>153</v>
      </c>
      <c r="H42">
        <f t="shared" si="3"/>
        <v>20</v>
      </c>
      <c r="I42">
        <f t="shared" si="2"/>
        <v>19</v>
      </c>
      <c r="J42" s="1">
        <f t="shared" si="4"/>
        <v>102.6</v>
      </c>
      <c r="K42">
        <f t="shared" si="5"/>
        <v>129.87310344827586</v>
      </c>
    </row>
    <row r="43" spans="1:11" x14ac:dyDescent="0.4">
      <c r="A43" t="s">
        <v>45</v>
      </c>
      <c r="B43">
        <v>285</v>
      </c>
      <c r="C43">
        <v>300</v>
      </c>
      <c r="D43">
        <v>369996</v>
      </c>
      <c r="E43">
        <f t="shared" si="0"/>
        <v>961</v>
      </c>
      <c r="F43">
        <v>1509</v>
      </c>
      <c r="G43">
        <f t="shared" si="1"/>
        <v>150.9</v>
      </c>
      <c r="H43">
        <f t="shared" si="3"/>
        <v>30</v>
      </c>
      <c r="I43">
        <f t="shared" si="2"/>
        <v>21</v>
      </c>
      <c r="J43" s="1">
        <f t="shared" si="4"/>
        <v>75.599999999999994</v>
      </c>
      <c r="K43">
        <f t="shared" si="5"/>
        <v>115.2</v>
      </c>
    </row>
    <row r="44" spans="1:11" x14ac:dyDescent="0.4">
      <c r="A44" t="s">
        <v>46</v>
      </c>
      <c r="B44">
        <v>282</v>
      </c>
      <c r="C44">
        <v>300</v>
      </c>
      <c r="D44">
        <v>370016</v>
      </c>
      <c r="E44">
        <f t="shared" si="0"/>
        <v>981</v>
      </c>
      <c r="F44">
        <v>1491</v>
      </c>
      <c r="G44">
        <f t="shared" si="1"/>
        <v>149.1</v>
      </c>
      <c r="H44">
        <f t="shared" si="3"/>
        <v>20</v>
      </c>
      <c r="I44">
        <f t="shared" si="2"/>
        <v>18</v>
      </c>
      <c r="J44" s="1">
        <f t="shared" si="4"/>
        <v>97.2</v>
      </c>
      <c r="K44">
        <f t="shared" si="5"/>
        <v>103.32000000000001</v>
      </c>
    </row>
    <row r="45" spans="1:11" x14ac:dyDescent="0.4">
      <c r="A45" t="s">
        <v>47</v>
      </c>
      <c r="B45">
        <v>285</v>
      </c>
      <c r="C45">
        <v>300</v>
      </c>
      <c r="D45">
        <v>370036</v>
      </c>
      <c r="E45">
        <f t="shared" si="0"/>
        <v>1001</v>
      </c>
      <c r="F45">
        <v>1453</v>
      </c>
      <c r="G45">
        <f t="shared" si="1"/>
        <v>145.30000000000001</v>
      </c>
      <c r="H45">
        <f t="shared" si="3"/>
        <v>20</v>
      </c>
      <c r="I45">
        <f t="shared" si="2"/>
        <v>38</v>
      </c>
      <c r="J45" s="1">
        <f t="shared" si="4"/>
        <v>205.2</v>
      </c>
      <c r="K45">
        <f t="shared" si="5"/>
        <v>137.16</v>
      </c>
    </row>
    <row r="46" spans="1:11" x14ac:dyDescent="0.4">
      <c r="A46" t="s">
        <v>48</v>
      </c>
      <c r="B46">
        <v>283</v>
      </c>
      <c r="C46">
        <v>300</v>
      </c>
      <c r="D46">
        <v>370066</v>
      </c>
      <c r="E46">
        <f t="shared" si="0"/>
        <v>1031</v>
      </c>
      <c r="F46">
        <v>1437</v>
      </c>
      <c r="G46">
        <f t="shared" si="1"/>
        <v>143.69999999999999</v>
      </c>
      <c r="H46">
        <f t="shared" si="3"/>
        <v>30</v>
      </c>
      <c r="I46">
        <f t="shared" si="2"/>
        <v>16</v>
      </c>
      <c r="J46" s="1">
        <f t="shared" si="4"/>
        <v>57.6</v>
      </c>
      <c r="K46">
        <f t="shared" si="5"/>
        <v>107.63999999999999</v>
      </c>
    </row>
    <row r="47" spans="1:11" x14ac:dyDescent="0.4">
      <c r="A47" t="s">
        <v>49</v>
      </c>
      <c r="B47">
        <v>288</v>
      </c>
      <c r="C47">
        <v>300</v>
      </c>
      <c r="D47">
        <v>370086</v>
      </c>
      <c r="E47">
        <f t="shared" si="0"/>
        <v>1051</v>
      </c>
      <c r="F47">
        <v>1394</v>
      </c>
      <c r="G47">
        <f t="shared" si="1"/>
        <v>139.4</v>
      </c>
      <c r="H47">
        <f t="shared" si="3"/>
        <v>20</v>
      </c>
      <c r="I47">
        <f t="shared" si="2"/>
        <v>43</v>
      </c>
      <c r="J47" s="1">
        <f t="shared" si="4"/>
        <v>232.2</v>
      </c>
      <c r="K47">
        <f t="shared" si="5"/>
        <v>133.56</v>
      </c>
    </row>
    <row r="48" spans="1:11" x14ac:dyDescent="0.4">
      <c r="A48" t="s">
        <v>50</v>
      </c>
      <c r="B48">
        <v>291</v>
      </c>
      <c r="C48">
        <v>300</v>
      </c>
      <c r="D48">
        <v>370106</v>
      </c>
      <c r="E48">
        <f t="shared" si="0"/>
        <v>1071</v>
      </c>
      <c r="F48">
        <v>1397</v>
      </c>
      <c r="G48">
        <f t="shared" si="1"/>
        <v>139.69999999999999</v>
      </c>
      <c r="H48">
        <f t="shared" si="3"/>
        <v>20</v>
      </c>
      <c r="I48">
        <f t="shared" si="2"/>
        <v>-3</v>
      </c>
      <c r="J48" s="1">
        <f t="shared" si="4"/>
        <v>-16.2</v>
      </c>
      <c r="K48">
        <f t="shared" si="5"/>
        <v>115.2</v>
      </c>
    </row>
    <row r="49" spans="1:11" x14ac:dyDescent="0.4">
      <c r="A49" t="s">
        <v>51</v>
      </c>
      <c r="B49">
        <v>292</v>
      </c>
      <c r="C49">
        <v>300</v>
      </c>
      <c r="D49">
        <v>370136</v>
      </c>
      <c r="E49">
        <f t="shared" si="0"/>
        <v>1101</v>
      </c>
      <c r="F49">
        <v>1370</v>
      </c>
      <c r="G49">
        <f t="shared" si="1"/>
        <v>137</v>
      </c>
      <c r="H49">
        <f t="shared" si="3"/>
        <v>30</v>
      </c>
      <c r="I49">
        <f t="shared" si="2"/>
        <v>27</v>
      </c>
      <c r="J49" s="1">
        <f t="shared" si="4"/>
        <v>97.2</v>
      </c>
      <c r="K49">
        <f t="shared" si="5"/>
        <v>115.2</v>
      </c>
    </row>
    <row r="50" spans="1:11" x14ac:dyDescent="0.4">
      <c r="A50" t="s">
        <v>52</v>
      </c>
      <c r="B50">
        <v>291</v>
      </c>
      <c r="C50">
        <v>300</v>
      </c>
      <c r="D50">
        <v>370156</v>
      </c>
      <c r="E50">
        <f t="shared" si="0"/>
        <v>1121</v>
      </c>
      <c r="F50">
        <v>1332</v>
      </c>
      <c r="G50">
        <f t="shared" si="1"/>
        <v>133.19999999999999</v>
      </c>
      <c r="H50">
        <f t="shared" si="3"/>
        <v>20</v>
      </c>
      <c r="I50">
        <f t="shared" si="2"/>
        <v>38</v>
      </c>
      <c r="J50" s="1">
        <f t="shared" si="4"/>
        <v>205.2</v>
      </c>
      <c r="K50">
        <f t="shared" si="5"/>
        <v>115.2</v>
      </c>
    </row>
    <row r="51" spans="1:11" x14ac:dyDescent="0.4">
      <c r="A51" t="s">
        <v>53</v>
      </c>
      <c r="B51">
        <v>294</v>
      </c>
      <c r="C51">
        <v>300</v>
      </c>
      <c r="D51">
        <v>370176</v>
      </c>
      <c r="E51">
        <f t="shared" si="0"/>
        <v>1141</v>
      </c>
      <c r="F51">
        <v>1302</v>
      </c>
      <c r="G51">
        <f t="shared" si="1"/>
        <v>130.19999999999999</v>
      </c>
      <c r="H51">
        <f t="shared" si="3"/>
        <v>20</v>
      </c>
      <c r="I51">
        <f t="shared" si="2"/>
        <v>30</v>
      </c>
      <c r="J51" s="1">
        <f t="shared" si="4"/>
        <v>162</v>
      </c>
      <c r="K51">
        <f t="shared" si="5"/>
        <v>136.07999999999998</v>
      </c>
    </row>
    <row r="52" spans="1:11" x14ac:dyDescent="0.4">
      <c r="A52" t="s">
        <v>54</v>
      </c>
      <c r="B52">
        <v>299</v>
      </c>
      <c r="C52">
        <v>300</v>
      </c>
      <c r="D52">
        <v>370206</v>
      </c>
      <c r="E52">
        <f t="shared" si="0"/>
        <v>1171</v>
      </c>
      <c r="F52">
        <v>1278</v>
      </c>
      <c r="G52">
        <f t="shared" si="1"/>
        <v>127.8</v>
      </c>
      <c r="H52">
        <f t="shared" si="3"/>
        <v>30</v>
      </c>
      <c r="I52">
        <f t="shared" si="2"/>
        <v>24</v>
      </c>
      <c r="J52" s="1">
        <f t="shared" si="4"/>
        <v>86.4</v>
      </c>
      <c r="K52">
        <f t="shared" si="5"/>
        <v>106.92</v>
      </c>
    </row>
    <row r="53" spans="1:11" x14ac:dyDescent="0.4">
      <c r="A53" t="s">
        <v>55</v>
      </c>
      <c r="B53">
        <v>300</v>
      </c>
      <c r="C53">
        <v>300</v>
      </c>
      <c r="D53">
        <v>370226</v>
      </c>
      <c r="E53">
        <f t="shared" si="0"/>
        <v>1191</v>
      </c>
      <c r="F53">
        <v>1244</v>
      </c>
      <c r="G53">
        <f t="shared" si="1"/>
        <v>124.4</v>
      </c>
      <c r="H53">
        <f t="shared" si="3"/>
        <v>20</v>
      </c>
      <c r="I53">
        <f t="shared" si="2"/>
        <v>34</v>
      </c>
      <c r="J53" s="1">
        <f t="shared" si="4"/>
        <v>183.6</v>
      </c>
      <c r="K53">
        <f t="shared" si="5"/>
        <v>146.88</v>
      </c>
    </row>
    <row r="54" spans="1:11" x14ac:dyDescent="0.4">
      <c r="A54" t="s">
        <v>56</v>
      </c>
      <c r="B54">
        <v>300</v>
      </c>
      <c r="C54">
        <v>300</v>
      </c>
      <c r="D54">
        <v>370246</v>
      </c>
      <c r="E54">
        <f t="shared" si="0"/>
        <v>1211</v>
      </c>
      <c r="F54">
        <v>1218</v>
      </c>
      <c r="G54">
        <f t="shared" si="1"/>
        <v>121.8</v>
      </c>
      <c r="H54">
        <f t="shared" si="3"/>
        <v>20</v>
      </c>
      <c r="I54">
        <f t="shared" si="2"/>
        <v>26</v>
      </c>
      <c r="J54" s="1">
        <f t="shared" si="4"/>
        <v>140.4</v>
      </c>
      <c r="K54">
        <f t="shared" si="5"/>
        <v>155.52000000000001</v>
      </c>
    </row>
    <row r="55" spans="1:11" x14ac:dyDescent="0.4">
      <c r="A55" t="s">
        <v>57</v>
      </c>
      <c r="B55">
        <v>300</v>
      </c>
      <c r="C55">
        <v>300</v>
      </c>
      <c r="D55">
        <v>370276</v>
      </c>
      <c r="E55">
        <f t="shared" si="0"/>
        <v>1241</v>
      </c>
      <c r="F55">
        <v>1186</v>
      </c>
      <c r="G55">
        <f t="shared" si="1"/>
        <v>118.6</v>
      </c>
      <c r="H55">
        <f t="shared" si="3"/>
        <v>30</v>
      </c>
      <c r="I55">
        <f t="shared" si="2"/>
        <v>32</v>
      </c>
      <c r="J55" s="1">
        <f t="shared" si="4"/>
        <v>115.2</v>
      </c>
      <c r="K55">
        <f t="shared" si="5"/>
        <v>137.52000000000001</v>
      </c>
    </row>
    <row r="56" spans="1:11" x14ac:dyDescent="0.4">
      <c r="A56" t="s">
        <v>58</v>
      </c>
      <c r="B56">
        <v>300</v>
      </c>
      <c r="C56">
        <v>300</v>
      </c>
      <c r="D56">
        <v>370296</v>
      </c>
      <c r="E56">
        <f t="shared" si="0"/>
        <v>1261</v>
      </c>
      <c r="F56">
        <v>1156</v>
      </c>
      <c r="G56">
        <f t="shared" si="1"/>
        <v>115.6</v>
      </c>
      <c r="H56">
        <f t="shared" si="3"/>
        <v>20</v>
      </c>
      <c r="I56">
        <f t="shared" si="2"/>
        <v>30</v>
      </c>
      <c r="J56" s="1">
        <f t="shared" si="4"/>
        <v>162</v>
      </c>
      <c r="K56">
        <f t="shared" si="5"/>
        <v>137.52000000000001</v>
      </c>
    </row>
    <row r="57" spans="1:11" x14ac:dyDescent="0.4">
      <c r="A57" t="s">
        <v>59</v>
      </c>
      <c r="B57">
        <v>300</v>
      </c>
      <c r="C57">
        <v>300</v>
      </c>
      <c r="D57">
        <v>370316</v>
      </c>
      <c r="E57">
        <f t="shared" si="0"/>
        <v>1281</v>
      </c>
      <c r="F57">
        <v>1120</v>
      </c>
      <c r="G57">
        <f t="shared" si="1"/>
        <v>112</v>
      </c>
      <c r="H57">
        <f t="shared" si="3"/>
        <v>20</v>
      </c>
      <c r="I57">
        <f t="shared" si="2"/>
        <v>36</v>
      </c>
      <c r="J57" s="1">
        <f t="shared" si="4"/>
        <v>194.4</v>
      </c>
      <c r="K57">
        <f t="shared" si="5"/>
        <v>159.12</v>
      </c>
    </row>
    <row r="58" spans="1:11" x14ac:dyDescent="0.4">
      <c r="A58" t="s">
        <v>60</v>
      </c>
      <c r="B58">
        <v>300</v>
      </c>
      <c r="C58">
        <v>300</v>
      </c>
      <c r="D58">
        <v>370346</v>
      </c>
      <c r="E58">
        <f t="shared" si="0"/>
        <v>1311</v>
      </c>
      <c r="F58">
        <v>1094</v>
      </c>
      <c r="G58">
        <f t="shared" si="1"/>
        <v>109.4</v>
      </c>
      <c r="H58">
        <f t="shared" si="3"/>
        <v>30</v>
      </c>
      <c r="I58">
        <f t="shared" si="2"/>
        <v>26</v>
      </c>
      <c r="J58" s="1">
        <f t="shared" si="4"/>
        <v>93.600000000000009</v>
      </c>
      <c r="K58">
        <f t="shared" si="5"/>
        <v>141.12</v>
      </c>
    </row>
    <row r="59" spans="1:11" x14ac:dyDescent="0.4">
      <c r="A59" t="s">
        <v>61</v>
      </c>
      <c r="B59">
        <v>300</v>
      </c>
      <c r="C59">
        <v>300</v>
      </c>
      <c r="D59">
        <v>370366</v>
      </c>
      <c r="E59">
        <f t="shared" si="0"/>
        <v>1331</v>
      </c>
      <c r="F59">
        <v>1058</v>
      </c>
      <c r="G59">
        <f t="shared" si="1"/>
        <v>105.8</v>
      </c>
      <c r="H59">
        <f t="shared" si="3"/>
        <v>20</v>
      </c>
      <c r="I59">
        <f t="shared" si="2"/>
        <v>36</v>
      </c>
      <c r="J59" s="1">
        <f t="shared" si="4"/>
        <v>194.4</v>
      </c>
      <c r="K59">
        <f t="shared" si="5"/>
        <v>151.92000000000002</v>
      </c>
    </row>
    <row r="60" spans="1:11" x14ac:dyDescent="0.4">
      <c r="A60" t="s">
        <v>62</v>
      </c>
      <c r="B60">
        <v>300</v>
      </c>
      <c r="C60">
        <v>300</v>
      </c>
      <c r="D60">
        <v>370386</v>
      </c>
      <c r="E60">
        <f t="shared" si="0"/>
        <v>1351</v>
      </c>
      <c r="F60">
        <v>1025</v>
      </c>
      <c r="G60">
        <f t="shared" si="1"/>
        <v>102.5</v>
      </c>
      <c r="H60">
        <f t="shared" si="3"/>
        <v>20</v>
      </c>
      <c r="I60">
        <f t="shared" si="2"/>
        <v>33</v>
      </c>
      <c r="J60" s="1">
        <f t="shared" si="4"/>
        <v>178.2</v>
      </c>
      <c r="K60">
        <f t="shared" si="5"/>
        <v>164.51999999999998</v>
      </c>
    </row>
    <row r="61" spans="1:11" x14ac:dyDescent="0.4">
      <c r="A61" t="s">
        <v>63</v>
      </c>
      <c r="B61">
        <v>300</v>
      </c>
      <c r="C61">
        <v>300</v>
      </c>
      <c r="D61">
        <v>370416</v>
      </c>
      <c r="E61">
        <f t="shared" si="0"/>
        <v>1381</v>
      </c>
      <c r="F61">
        <v>996</v>
      </c>
      <c r="G61">
        <f t="shared" si="1"/>
        <v>99.6</v>
      </c>
      <c r="H61">
        <f t="shared" si="3"/>
        <v>30</v>
      </c>
      <c r="I61">
        <f t="shared" si="2"/>
        <v>29</v>
      </c>
      <c r="J61" s="1">
        <f t="shared" si="4"/>
        <v>104.4</v>
      </c>
      <c r="K61">
        <f t="shared" si="5"/>
        <v>152.99999999999997</v>
      </c>
    </row>
    <row r="62" spans="1:11" x14ac:dyDescent="0.4">
      <c r="A62" t="s">
        <v>64</v>
      </c>
      <c r="B62">
        <v>300</v>
      </c>
      <c r="C62">
        <v>300</v>
      </c>
      <c r="D62">
        <v>370436</v>
      </c>
      <c r="E62">
        <f t="shared" si="0"/>
        <v>1401</v>
      </c>
      <c r="F62">
        <v>960</v>
      </c>
      <c r="G62">
        <f t="shared" si="1"/>
        <v>96</v>
      </c>
      <c r="H62">
        <f t="shared" si="3"/>
        <v>20</v>
      </c>
      <c r="I62">
        <f t="shared" si="2"/>
        <v>36</v>
      </c>
      <c r="J62" s="1">
        <f t="shared" si="4"/>
        <v>194.4</v>
      </c>
      <c r="K62">
        <f t="shared" si="5"/>
        <v>153</v>
      </c>
    </row>
    <row r="63" spans="1:11" x14ac:dyDescent="0.4">
      <c r="A63" t="s">
        <v>65</v>
      </c>
      <c r="B63">
        <v>300</v>
      </c>
      <c r="C63">
        <v>300</v>
      </c>
      <c r="D63">
        <v>370456</v>
      </c>
      <c r="E63">
        <f t="shared" si="0"/>
        <v>1421</v>
      </c>
      <c r="F63">
        <v>933</v>
      </c>
      <c r="G63">
        <f t="shared" si="1"/>
        <v>93.3</v>
      </c>
      <c r="H63">
        <f t="shared" si="3"/>
        <v>20</v>
      </c>
      <c r="I63">
        <f t="shared" si="2"/>
        <v>27</v>
      </c>
      <c r="J63" s="1">
        <f t="shared" si="4"/>
        <v>145.80000000000001</v>
      </c>
      <c r="K63">
        <f t="shared" si="5"/>
        <v>163.44</v>
      </c>
    </row>
    <row r="64" spans="1:11" x14ac:dyDescent="0.4">
      <c r="A64" t="s">
        <v>66</v>
      </c>
      <c r="B64">
        <v>300</v>
      </c>
      <c r="C64">
        <v>300</v>
      </c>
      <c r="D64">
        <v>370486</v>
      </c>
      <c r="E64">
        <f t="shared" si="0"/>
        <v>1451</v>
      </c>
      <c r="F64">
        <v>898</v>
      </c>
      <c r="G64">
        <f t="shared" si="1"/>
        <v>89.8</v>
      </c>
      <c r="H64">
        <f t="shared" si="3"/>
        <v>30</v>
      </c>
      <c r="I64">
        <f t="shared" si="2"/>
        <v>35</v>
      </c>
      <c r="J64" s="1">
        <f t="shared" si="4"/>
        <v>126.00000000000001</v>
      </c>
      <c r="K64">
        <f t="shared" si="5"/>
        <v>149.76</v>
      </c>
    </row>
    <row r="65" spans="1:11" x14ac:dyDescent="0.4">
      <c r="A65" t="s">
        <v>67</v>
      </c>
      <c r="B65">
        <v>300</v>
      </c>
      <c r="C65">
        <v>300</v>
      </c>
      <c r="D65">
        <v>370506</v>
      </c>
      <c r="E65">
        <f t="shared" si="0"/>
        <v>1471</v>
      </c>
      <c r="F65">
        <v>866</v>
      </c>
      <c r="G65">
        <f t="shared" si="1"/>
        <v>86.6</v>
      </c>
      <c r="H65">
        <f t="shared" si="3"/>
        <v>20</v>
      </c>
      <c r="I65">
        <f t="shared" si="2"/>
        <v>32</v>
      </c>
      <c r="J65" s="1">
        <f t="shared" si="4"/>
        <v>172.8</v>
      </c>
      <c r="K65">
        <f t="shared" si="5"/>
        <v>148.68</v>
      </c>
    </row>
    <row r="66" spans="1:11" x14ac:dyDescent="0.4">
      <c r="A66" t="s">
        <v>68</v>
      </c>
      <c r="B66">
        <v>300</v>
      </c>
      <c r="C66">
        <v>300</v>
      </c>
      <c r="D66">
        <v>370526</v>
      </c>
      <c r="E66">
        <f t="shared" si="0"/>
        <v>1491</v>
      </c>
      <c r="F66">
        <v>834</v>
      </c>
      <c r="G66">
        <f t="shared" si="1"/>
        <v>83.4</v>
      </c>
      <c r="H66">
        <f t="shared" si="3"/>
        <v>20</v>
      </c>
      <c r="I66">
        <f t="shared" si="2"/>
        <v>32</v>
      </c>
      <c r="J66" s="1">
        <f t="shared" si="4"/>
        <v>172.8</v>
      </c>
      <c r="K66">
        <f t="shared" si="5"/>
        <v>162.35999999999999</v>
      </c>
    </row>
    <row r="67" spans="1:11" x14ac:dyDescent="0.4">
      <c r="A67" t="s">
        <v>69</v>
      </c>
      <c r="B67">
        <v>300</v>
      </c>
      <c r="C67">
        <v>300</v>
      </c>
      <c r="D67">
        <v>370556</v>
      </c>
      <c r="E67">
        <f t="shared" ref="E67:E130" si="6">D67-$D$2</f>
        <v>1521</v>
      </c>
      <c r="F67">
        <v>797</v>
      </c>
      <c r="G67">
        <f t="shared" ref="G67:G113" si="7">F67/10</f>
        <v>79.7</v>
      </c>
      <c r="H67">
        <f t="shared" si="3"/>
        <v>30</v>
      </c>
      <c r="I67">
        <f t="shared" ref="I67:I130" si="8">F66-F67</f>
        <v>37</v>
      </c>
      <c r="J67" s="1">
        <f t="shared" si="4"/>
        <v>133.20000000000002</v>
      </c>
      <c r="K67">
        <f t="shared" si="5"/>
        <v>150.12000000000003</v>
      </c>
    </row>
    <row r="68" spans="1:11" x14ac:dyDescent="0.4">
      <c r="A68" t="s">
        <v>70</v>
      </c>
      <c r="B68">
        <v>300</v>
      </c>
      <c r="C68">
        <v>300</v>
      </c>
      <c r="D68">
        <v>370576</v>
      </c>
      <c r="E68">
        <f t="shared" si="6"/>
        <v>1541</v>
      </c>
      <c r="F68">
        <v>760</v>
      </c>
      <c r="G68">
        <f t="shared" si="7"/>
        <v>76</v>
      </c>
      <c r="H68">
        <f t="shared" ref="H68:H113" si="9">E68-E67</f>
        <v>20</v>
      </c>
      <c r="I68">
        <f t="shared" si="8"/>
        <v>37</v>
      </c>
      <c r="J68" s="1">
        <f t="shared" ref="J68:J113" si="10">I68/H68*108</f>
        <v>199.8</v>
      </c>
      <c r="K68">
        <f t="shared" si="5"/>
        <v>160.92000000000002</v>
      </c>
    </row>
    <row r="69" spans="1:11" x14ac:dyDescent="0.4">
      <c r="A69" t="s">
        <v>71</v>
      </c>
      <c r="B69">
        <v>300</v>
      </c>
      <c r="C69">
        <v>300</v>
      </c>
      <c r="D69">
        <v>370596</v>
      </c>
      <c r="E69">
        <f t="shared" si="6"/>
        <v>1561</v>
      </c>
      <c r="F69">
        <v>728</v>
      </c>
      <c r="G69">
        <f t="shared" si="7"/>
        <v>72.8</v>
      </c>
      <c r="H69">
        <f t="shared" si="9"/>
        <v>20</v>
      </c>
      <c r="I69">
        <f t="shared" si="8"/>
        <v>32</v>
      </c>
      <c r="J69" s="1">
        <f t="shared" si="10"/>
        <v>172.8</v>
      </c>
      <c r="K69">
        <f t="shared" si="5"/>
        <v>170.28000000000003</v>
      </c>
    </row>
    <row r="70" spans="1:11" x14ac:dyDescent="0.4">
      <c r="A70" t="s">
        <v>72</v>
      </c>
      <c r="B70">
        <v>300</v>
      </c>
      <c r="C70">
        <v>300</v>
      </c>
      <c r="D70">
        <v>370626</v>
      </c>
      <c r="E70">
        <f t="shared" si="6"/>
        <v>1591</v>
      </c>
      <c r="F70">
        <v>688</v>
      </c>
      <c r="G70">
        <f t="shared" si="7"/>
        <v>68.8</v>
      </c>
      <c r="H70">
        <f t="shared" si="9"/>
        <v>30</v>
      </c>
      <c r="I70">
        <f t="shared" si="8"/>
        <v>40</v>
      </c>
      <c r="J70" s="1">
        <f t="shared" si="10"/>
        <v>144</v>
      </c>
      <c r="K70">
        <f t="shared" si="5"/>
        <v>164.52</v>
      </c>
    </row>
    <row r="71" spans="1:11" x14ac:dyDescent="0.4">
      <c r="A71" t="s">
        <v>73</v>
      </c>
      <c r="B71">
        <v>300</v>
      </c>
      <c r="C71">
        <v>300</v>
      </c>
      <c r="D71">
        <v>370646</v>
      </c>
      <c r="E71">
        <f t="shared" si="6"/>
        <v>1611</v>
      </c>
      <c r="F71">
        <v>655</v>
      </c>
      <c r="G71">
        <f t="shared" si="7"/>
        <v>65.5</v>
      </c>
      <c r="H71">
        <f t="shared" si="9"/>
        <v>20</v>
      </c>
      <c r="I71">
        <f t="shared" si="8"/>
        <v>33</v>
      </c>
      <c r="J71" s="1">
        <f t="shared" si="10"/>
        <v>178.2</v>
      </c>
      <c r="K71">
        <f t="shared" ref="K71:K113" si="11">(SUM(J67:J71)/5)</f>
        <v>165.6</v>
      </c>
    </row>
    <row r="72" spans="1:11" x14ac:dyDescent="0.4">
      <c r="A72" t="s">
        <v>74</v>
      </c>
      <c r="B72">
        <v>300</v>
      </c>
      <c r="C72">
        <v>300</v>
      </c>
      <c r="D72">
        <v>370666</v>
      </c>
      <c r="E72">
        <f t="shared" si="6"/>
        <v>1631</v>
      </c>
      <c r="F72">
        <v>622</v>
      </c>
      <c r="G72">
        <f t="shared" si="7"/>
        <v>62.2</v>
      </c>
      <c r="H72">
        <f t="shared" si="9"/>
        <v>20</v>
      </c>
      <c r="I72">
        <f t="shared" si="8"/>
        <v>33</v>
      </c>
      <c r="J72" s="1">
        <f t="shared" si="10"/>
        <v>178.2</v>
      </c>
      <c r="K72">
        <f t="shared" si="11"/>
        <v>174.6</v>
      </c>
    </row>
    <row r="73" spans="1:11" x14ac:dyDescent="0.4">
      <c r="A73" t="s">
        <v>75</v>
      </c>
      <c r="B73">
        <v>300</v>
      </c>
      <c r="C73">
        <v>300</v>
      </c>
      <c r="D73">
        <v>370696</v>
      </c>
      <c r="E73">
        <f t="shared" si="6"/>
        <v>1661</v>
      </c>
      <c r="F73">
        <v>597</v>
      </c>
      <c r="G73">
        <f t="shared" si="7"/>
        <v>59.7</v>
      </c>
      <c r="H73">
        <f t="shared" si="9"/>
        <v>30</v>
      </c>
      <c r="I73">
        <f t="shared" si="8"/>
        <v>25</v>
      </c>
      <c r="J73" s="1">
        <f t="shared" si="10"/>
        <v>90</v>
      </c>
      <c r="K73">
        <f t="shared" si="11"/>
        <v>152.64000000000001</v>
      </c>
    </row>
    <row r="74" spans="1:11" x14ac:dyDescent="0.4">
      <c r="A74" t="s">
        <v>76</v>
      </c>
      <c r="B74">
        <v>300</v>
      </c>
      <c r="C74">
        <v>300</v>
      </c>
      <c r="D74">
        <v>370716</v>
      </c>
      <c r="E74">
        <f t="shared" si="6"/>
        <v>1681</v>
      </c>
      <c r="F74">
        <v>566</v>
      </c>
      <c r="G74">
        <f t="shared" si="7"/>
        <v>56.6</v>
      </c>
      <c r="H74">
        <f t="shared" si="9"/>
        <v>20</v>
      </c>
      <c r="I74">
        <f t="shared" si="8"/>
        <v>31</v>
      </c>
      <c r="J74" s="1">
        <f t="shared" si="10"/>
        <v>167.4</v>
      </c>
      <c r="K74">
        <f t="shared" si="11"/>
        <v>151.56</v>
      </c>
    </row>
    <row r="75" spans="1:11" x14ac:dyDescent="0.4">
      <c r="A75" t="s">
        <v>77</v>
      </c>
      <c r="B75">
        <v>300</v>
      </c>
      <c r="C75">
        <v>300</v>
      </c>
      <c r="D75">
        <v>370746</v>
      </c>
      <c r="E75">
        <f t="shared" si="6"/>
        <v>1711</v>
      </c>
      <c r="F75">
        <v>542</v>
      </c>
      <c r="G75">
        <f t="shared" si="7"/>
        <v>54.2</v>
      </c>
      <c r="H75">
        <f t="shared" si="9"/>
        <v>30</v>
      </c>
      <c r="I75">
        <f t="shared" si="8"/>
        <v>24</v>
      </c>
      <c r="J75" s="1">
        <f t="shared" si="10"/>
        <v>86.4</v>
      </c>
      <c r="K75">
        <f t="shared" si="11"/>
        <v>140.04</v>
      </c>
    </row>
    <row r="76" spans="1:11" x14ac:dyDescent="0.4">
      <c r="A76" t="s">
        <v>78</v>
      </c>
      <c r="B76">
        <v>300</v>
      </c>
      <c r="C76">
        <v>300</v>
      </c>
      <c r="D76">
        <v>370766</v>
      </c>
      <c r="E76">
        <f t="shared" si="6"/>
        <v>1731</v>
      </c>
      <c r="F76">
        <v>519</v>
      </c>
      <c r="G76">
        <f t="shared" si="7"/>
        <v>51.9</v>
      </c>
      <c r="H76">
        <f t="shared" si="9"/>
        <v>20</v>
      </c>
      <c r="I76">
        <f t="shared" si="8"/>
        <v>23</v>
      </c>
      <c r="J76" s="1">
        <f t="shared" si="10"/>
        <v>124.19999999999999</v>
      </c>
      <c r="K76">
        <f t="shared" si="11"/>
        <v>129.24</v>
      </c>
    </row>
    <row r="77" spans="1:11" x14ac:dyDescent="0.4">
      <c r="A77" t="s">
        <v>79</v>
      </c>
      <c r="B77">
        <v>300</v>
      </c>
      <c r="C77">
        <v>300</v>
      </c>
      <c r="D77">
        <v>370786</v>
      </c>
      <c r="E77">
        <f t="shared" si="6"/>
        <v>1751</v>
      </c>
      <c r="F77">
        <v>495</v>
      </c>
      <c r="G77">
        <f t="shared" si="7"/>
        <v>49.5</v>
      </c>
      <c r="H77">
        <f t="shared" si="9"/>
        <v>20</v>
      </c>
      <c r="I77">
        <f t="shared" si="8"/>
        <v>24</v>
      </c>
      <c r="J77" s="1">
        <f t="shared" si="10"/>
        <v>129.6</v>
      </c>
      <c r="K77">
        <f t="shared" si="11"/>
        <v>119.51999999999998</v>
      </c>
    </row>
    <row r="78" spans="1:11" x14ac:dyDescent="0.4">
      <c r="A78" t="s">
        <v>80</v>
      </c>
      <c r="B78">
        <v>300</v>
      </c>
      <c r="C78">
        <v>300</v>
      </c>
      <c r="D78">
        <v>370816</v>
      </c>
      <c r="E78">
        <f t="shared" si="6"/>
        <v>1781</v>
      </c>
      <c r="F78">
        <v>477</v>
      </c>
      <c r="G78">
        <f t="shared" si="7"/>
        <v>47.7</v>
      </c>
      <c r="H78">
        <f t="shared" si="9"/>
        <v>30</v>
      </c>
      <c r="I78">
        <f t="shared" si="8"/>
        <v>18</v>
      </c>
      <c r="J78" s="1">
        <f t="shared" si="10"/>
        <v>64.8</v>
      </c>
      <c r="K78">
        <f t="shared" si="11"/>
        <v>114.47999999999999</v>
      </c>
    </row>
    <row r="79" spans="1:11" x14ac:dyDescent="0.4">
      <c r="A79" t="s">
        <v>81</v>
      </c>
      <c r="B79">
        <v>300</v>
      </c>
      <c r="C79">
        <v>300</v>
      </c>
      <c r="D79">
        <v>370836</v>
      </c>
      <c r="E79">
        <f t="shared" si="6"/>
        <v>1801</v>
      </c>
      <c r="F79">
        <v>457</v>
      </c>
      <c r="G79">
        <f t="shared" si="7"/>
        <v>45.7</v>
      </c>
      <c r="H79">
        <f t="shared" si="9"/>
        <v>20</v>
      </c>
      <c r="I79">
        <f t="shared" si="8"/>
        <v>20</v>
      </c>
      <c r="J79" s="1">
        <f t="shared" si="10"/>
        <v>108</v>
      </c>
      <c r="K79">
        <f t="shared" si="11"/>
        <v>102.6</v>
      </c>
    </row>
    <row r="80" spans="1:11" x14ac:dyDescent="0.4">
      <c r="A80" t="s">
        <v>82</v>
      </c>
      <c r="B80">
        <v>300</v>
      </c>
      <c r="C80">
        <v>300</v>
      </c>
      <c r="D80">
        <v>370856</v>
      </c>
      <c r="E80">
        <f t="shared" si="6"/>
        <v>1821</v>
      </c>
      <c r="F80">
        <v>440</v>
      </c>
      <c r="G80">
        <f t="shared" si="7"/>
        <v>44</v>
      </c>
      <c r="H80">
        <f t="shared" si="9"/>
        <v>20</v>
      </c>
      <c r="I80">
        <f t="shared" si="8"/>
        <v>17</v>
      </c>
      <c r="J80" s="1">
        <f t="shared" si="10"/>
        <v>91.8</v>
      </c>
      <c r="K80">
        <f t="shared" si="11"/>
        <v>103.67999999999999</v>
      </c>
    </row>
    <row r="81" spans="1:11" x14ac:dyDescent="0.4">
      <c r="A81" t="s">
        <v>83</v>
      </c>
      <c r="B81">
        <v>300</v>
      </c>
      <c r="C81">
        <v>300</v>
      </c>
      <c r="D81">
        <v>370877</v>
      </c>
      <c r="E81">
        <f t="shared" si="6"/>
        <v>1842</v>
      </c>
      <c r="F81">
        <v>421</v>
      </c>
      <c r="G81">
        <f t="shared" si="7"/>
        <v>42.1</v>
      </c>
      <c r="H81">
        <f t="shared" si="9"/>
        <v>21</v>
      </c>
      <c r="I81">
        <f t="shared" si="8"/>
        <v>19</v>
      </c>
      <c r="J81" s="1">
        <f t="shared" si="10"/>
        <v>97.714285714285708</v>
      </c>
      <c r="K81">
        <f t="shared" si="11"/>
        <v>98.382857142857148</v>
      </c>
    </row>
    <row r="82" spans="1:11" x14ac:dyDescent="0.4">
      <c r="A82" t="s">
        <v>84</v>
      </c>
      <c r="B82">
        <v>300</v>
      </c>
      <c r="C82">
        <v>300</v>
      </c>
      <c r="D82">
        <v>370906</v>
      </c>
      <c r="E82">
        <f t="shared" si="6"/>
        <v>1871</v>
      </c>
      <c r="F82">
        <v>404</v>
      </c>
      <c r="G82">
        <f t="shared" si="7"/>
        <v>40.4</v>
      </c>
      <c r="H82">
        <f t="shared" si="9"/>
        <v>29</v>
      </c>
      <c r="I82">
        <f t="shared" si="8"/>
        <v>17</v>
      </c>
      <c r="J82" s="1">
        <f t="shared" si="10"/>
        <v>63.310344827586199</v>
      </c>
      <c r="K82">
        <f t="shared" si="11"/>
        <v>85.124926108374396</v>
      </c>
    </row>
    <row r="83" spans="1:11" x14ac:dyDescent="0.4">
      <c r="A83" t="s">
        <v>85</v>
      </c>
      <c r="B83">
        <v>300</v>
      </c>
      <c r="C83">
        <v>300</v>
      </c>
      <c r="D83">
        <v>370926</v>
      </c>
      <c r="E83">
        <f t="shared" si="6"/>
        <v>1891</v>
      </c>
      <c r="F83">
        <v>388</v>
      </c>
      <c r="G83">
        <f t="shared" si="7"/>
        <v>38.799999999999997</v>
      </c>
      <c r="H83">
        <f t="shared" si="9"/>
        <v>20</v>
      </c>
      <c r="I83">
        <f t="shared" si="8"/>
        <v>16</v>
      </c>
      <c r="J83" s="1">
        <f t="shared" si="10"/>
        <v>86.4</v>
      </c>
      <c r="K83">
        <f t="shared" si="11"/>
        <v>89.444926108374403</v>
      </c>
    </row>
    <row r="84" spans="1:11" x14ac:dyDescent="0.4">
      <c r="A84" t="s">
        <v>86</v>
      </c>
      <c r="B84">
        <v>300</v>
      </c>
      <c r="C84">
        <v>300</v>
      </c>
      <c r="D84">
        <v>370956</v>
      </c>
      <c r="E84">
        <f t="shared" si="6"/>
        <v>1921</v>
      </c>
      <c r="F84">
        <v>377</v>
      </c>
      <c r="G84">
        <f t="shared" si="7"/>
        <v>37.700000000000003</v>
      </c>
      <c r="H84">
        <f t="shared" si="9"/>
        <v>30</v>
      </c>
      <c r="I84">
        <f t="shared" si="8"/>
        <v>11</v>
      </c>
      <c r="J84" s="1">
        <f t="shared" si="10"/>
        <v>39.599999999999994</v>
      </c>
      <c r="K84">
        <f t="shared" si="11"/>
        <v>75.764926108374382</v>
      </c>
    </row>
    <row r="85" spans="1:11" x14ac:dyDescent="0.4">
      <c r="A85" t="s">
        <v>87</v>
      </c>
      <c r="B85">
        <v>300</v>
      </c>
      <c r="C85">
        <v>300</v>
      </c>
      <c r="D85">
        <v>370976</v>
      </c>
      <c r="E85">
        <f t="shared" si="6"/>
        <v>1941</v>
      </c>
      <c r="F85">
        <v>362</v>
      </c>
      <c r="G85">
        <f t="shared" si="7"/>
        <v>36.200000000000003</v>
      </c>
      <c r="H85">
        <f t="shared" si="9"/>
        <v>20</v>
      </c>
      <c r="I85">
        <f t="shared" si="8"/>
        <v>15</v>
      </c>
      <c r="J85" s="1">
        <f t="shared" si="10"/>
        <v>81</v>
      </c>
      <c r="K85">
        <f t="shared" si="11"/>
        <v>73.604926108374386</v>
      </c>
    </row>
    <row r="86" spans="1:11" x14ac:dyDescent="0.4">
      <c r="A86" t="s">
        <v>88</v>
      </c>
      <c r="B86">
        <v>300</v>
      </c>
      <c r="C86">
        <v>300</v>
      </c>
      <c r="D86">
        <v>370996</v>
      </c>
      <c r="E86">
        <f t="shared" si="6"/>
        <v>1961</v>
      </c>
      <c r="F86">
        <v>352</v>
      </c>
      <c r="G86">
        <f t="shared" si="7"/>
        <v>35.200000000000003</v>
      </c>
      <c r="H86">
        <f t="shared" si="9"/>
        <v>20</v>
      </c>
      <c r="I86">
        <f t="shared" si="8"/>
        <v>10</v>
      </c>
      <c r="J86" s="1">
        <f t="shared" si="10"/>
        <v>54</v>
      </c>
      <c r="K86">
        <f t="shared" si="11"/>
        <v>64.862068965517238</v>
      </c>
    </row>
    <row r="87" spans="1:11" x14ac:dyDescent="0.4">
      <c r="A87" t="s">
        <v>89</v>
      </c>
      <c r="B87">
        <v>300</v>
      </c>
      <c r="C87">
        <v>300</v>
      </c>
      <c r="D87">
        <v>371026</v>
      </c>
      <c r="E87">
        <f t="shared" si="6"/>
        <v>1991</v>
      </c>
      <c r="F87">
        <v>340</v>
      </c>
      <c r="G87">
        <f t="shared" si="7"/>
        <v>34</v>
      </c>
      <c r="H87">
        <f t="shared" si="9"/>
        <v>30</v>
      </c>
      <c r="I87">
        <f t="shared" si="8"/>
        <v>12</v>
      </c>
      <c r="J87" s="1">
        <f t="shared" si="10"/>
        <v>43.2</v>
      </c>
      <c r="K87">
        <f t="shared" si="11"/>
        <v>60.839999999999996</v>
      </c>
    </row>
    <row r="88" spans="1:11" x14ac:dyDescent="0.4">
      <c r="A88" t="s">
        <v>90</v>
      </c>
      <c r="B88">
        <v>300</v>
      </c>
      <c r="C88">
        <v>300</v>
      </c>
      <c r="D88">
        <v>371046</v>
      </c>
      <c r="E88">
        <f t="shared" si="6"/>
        <v>2011</v>
      </c>
      <c r="F88">
        <v>331</v>
      </c>
      <c r="G88">
        <f t="shared" si="7"/>
        <v>33.1</v>
      </c>
      <c r="H88">
        <f t="shared" si="9"/>
        <v>20</v>
      </c>
      <c r="I88">
        <f t="shared" si="8"/>
        <v>9</v>
      </c>
      <c r="J88" s="1">
        <f t="shared" si="10"/>
        <v>48.6</v>
      </c>
      <c r="K88">
        <f t="shared" si="11"/>
        <v>53.280000000000008</v>
      </c>
    </row>
    <row r="89" spans="1:11" x14ac:dyDescent="0.4">
      <c r="A89" t="s">
        <v>91</v>
      </c>
      <c r="B89">
        <v>300</v>
      </c>
      <c r="C89">
        <v>300</v>
      </c>
      <c r="D89">
        <v>371066</v>
      </c>
      <c r="E89">
        <f t="shared" si="6"/>
        <v>2031</v>
      </c>
      <c r="F89">
        <v>320</v>
      </c>
      <c r="G89">
        <f t="shared" si="7"/>
        <v>32</v>
      </c>
      <c r="H89">
        <f t="shared" si="9"/>
        <v>20</v>
      </c>
      <c r="I89">
        <f t="shared" si="8"/>
        <v>11</v>
      </c>
      <c r="J89" s="1">
        <f t="shared" si="10"/>
        <v>59.400000000000006</v>
      </c>
      <c r="K89">
        <f t="shared" si="11"/>
        <v>57.239999999999995</v>
      </c>
    </row>
    <row r="90" spans="1:11" x14ac:dyDescent="0.4">
      <c r="A90" t="s">
        <v>92</v>
      </c>
      <c r="B90">
        <v>300</v>
      </c>
      <c r="C90">
        <v>300</v>
      </c>
      <c r="D90">
        <v>371096</v>
      </c>
      <c r="E90">
        <f t="shared" si="6"/>
        <v>2061</v>
      </c>
      <c r="F90">
        <v>313</v>
      </c>
      <c r="G90">
        <f t="shared" si="7"/>
        <v>31.3</v>
      </c>
      <c r="H90">
        <f t="shared" si="9"/>
        <v>30</v>
      </c>
      <c r="I90">
        <f t="shared" si="8"/>
        <v>7</v>
      </c>
      <c r="J90" s="1">
        <f t="shared" si="10"/>
        <v>25.2</v>
      </c>
      <c r="K90">
        <f t="shared" si="11"/>
        <v>46.08</v>
      </c>
    </row>
    <row r="91" spans="1:11" x14ac:dyDescent="0.4">
      <c r="A91" t="s">
        <v>93</v>
      </c>
      <c r="B91">
        <v>300</v>
      </c>
      <c r="C91">
        <v>300</v>
      </c>
      <c r="D91">
        <v>371116</v>
      </c>
      <c r="E91">
        <f t="shared" si="6"/>
        <v>2081</v>
      </c>
      <c r="F91">
        <v>302</v>
      </c>
      <c r="G91">
        <f t="shared" si="7"/>
        <v>30.2</v>
      </c>
      <c r="H91">
        <f t="shared" si="9"/>
        <v>20</v>
      </c>
      <c r="I91">
        <f t="shared" si="8"/>
        <v>11</v>
      </c>
      <c r="J91" s="1">
        <f t="shared" si="10"/>
        <v>59.400000000000006</v>
      </c>
      <c r="K91">
        <f t="shared" si="11"/>
        <v>47.160000000000004</v>
      </c>
    </row>
    <row r="92" spans="1:11" x14ac:dyDescent="0.4">
      <c r="A92" t="s">
        <v>94</v>
      </c>
      <c r="B92">
        <v>300</v>
      </c>
      <c r="C92">
        <v>300</v>
      </c>
      <c r="D92">
        <v>371136</v>
      </c>
      <c r="E92">
        <f t="shared" si="6"/>
        <v>2101</v>
      </c>
      <c r="F92">
        <v>298</v>
      </c>
      <c r="G92">
        <f t="shared" si="7"/>
        <v>29.8</v>
      </c>
      <c r="H92">
        <f t="shared" si="9"/>
        <v>20</v>
      </c>
      <c r="I92">
        <f t="shared" si="8"/>
        <v>4</v>
      </c>
      <c r="J92" s="1">
        <f t="shared" si="10"/>
        <v>21.6</v>
      </c>
      <c r="K92">
        <f t="shared" si="11"/>
        <v>42.839999999999996</v>
      </c>
    </row>
    <row r="93" spans="1:11" x14ac:dyDescent="0.4">
      <c r="A93" t="s">
        <v>95</v>
      </c>
      <c r="B93">
        <v>300</v>
      </c>
      <c r="C93">
        <v>300</v>
      </c>
      <c r="D93">
        <v>371166</v>
      </c>
      <c r="E93">
        <f t="shared" si="6"/>
        <v>2131</v>
      </c>
      <c r="F93">
        <v>288</v>
      </c>
      <c r="G93">
        <f t="shared" si="7"/>
        <v>28.8</v>
      </c>
      <c r="H93">
        <f t="shared" si="9"/>
        <v>30</v>
      </c>
      <c r="I93">
        <f t="shared" si="8"/>
        <v>10</v>
      </c>
      <c r="J93" s="1">
        <f t="shared" si="10"/>
        <v>36</v>
      </c>
      <c r="K93">
        <f t="shared" si="11"/>
        <v>40.32</v>
      </c>
    </row>
    <row r="94" spans="1:11" x14ac:dyDescent="0.4">
      <c r="A94" t="s">
        <v>96</v>
      </c>
      <c r="B94">
        <v>300</v>
      </c>
      <c r="C94">
        <v>300</v>
      </c>
      <c r="D94">
        <v>371186</v>
      </c>
      <c r="E94">
        <f t="shared" si="6"/>
        <v>2151</v>
      </c>
      <c r="F94">
        <v>285</v>
      </c>
      <c r="G94">
        <f t="shared" si="7"/>
        <v>28.5</v>
      </c>
      <c r="H94">
        <f t="shared" si="9"/>
        <v>20</v>
      </c>
      <c r="I94">
        <f t="shared" si="8"/>
        <v>3</v>
      </c>
      <c r="J94" s="1">
        <f t="shared" si="10"/>
        <v>16.2</v>
      </c>
      <c r="K94">
        <f t="shared" si="11"/>
        <v>31.68</v>
      </c>
    </row>
    <row r="95" spans="1:11" x14ac:dyDescent="0.4">
      <c r="A95" t="s">
        <v>97</v>
      </c>
      <c r="B95">
        <v>300</v>
      </c>
      <c r="C95">
        <v>300</v>
      </c>
      <c r="D95">
        <v>371206</v>
      </c>
      <c r="E95">
        <f t="shared" si="6"/>
        <v>2171</v>
      </c>
      <c r="F95">
        <v>280</v>
      </c>
      <c r="G95">
        <f t="shared" si="7"/>
        <v>28</v>
      </c>
      <c r="H95">
        <f t="shared" si="9"/>
        <v>20</v>
      </c>
      <c r="I95">
        <f t="shared" si="8"/>
        <v>5</v>
      </c>
      <c r="J95" s="1">
        <f t="shared" si="10"/>
        <v>27</v>
      </c>
      <c r="K95">
        <f t="shared" si="11"/>
        <v>32.04</v>
      </c>
    </row>
    <row r="96" spans="1:11" x14ac:dyDescent="0.4">
      <c r="A96" t="s">
        <v>98</v>
      </c>
      <c r="B96">
        <v>300</v>
      </c>
      <c r="C96">
        <v>300</v>
      </c>
      <c r="D96">
        <v>371236</v>
      </c>
      <c r="E96">
        <f t="shared" si="6"/>
        <v>2201</v>
      </c>
      <c r="F96">
        <v>274</v>
      </c>
      <c r="G96">
        <f t="shared" si="7"/>
        <v>27.4</v>
      </c>
      <c r="H96">
        <f t="shared" si="9"/>
        <v>30</v>
      </c>
      <c r="I96">
        <f t="shared" si="8"/>
        <v>6</v>
      </c>
      <c r="J96" s="1">
        <f t="shared" si="10"/>
        <v>21.6</v>
      </c>
      <c r="K96">
        <f t="shared" si="11"/>
        <v>24.48</v>
      </c>
    </row>
    <row r="97" spans="1:11" x14ac:dyDescent="0.4">
      <c r="A97" t="s">
        <v>99</v>
      </c>
      <c r="B97">
        <v>300</v>
      </c>
      <c r="C97">
        <v>300</v>
      </c>
      <c r="D97">
        <v>371256</v>
      </c>
      <c r="E97">
        <f t="shared" si="6"/>
        <v>2221</v>
      </c>
      <c r="F97">
        <v>269</v>
      </c>
      <c r="G97">
        <f t="shared" si="7"/>
        <v>26.9</v>
      </c>
      <c r="H97">
        <f t="shared" si="9"/>
        <v>20</v>
      </c>
      <c r="I97">
        <f t="shared" si="8"/>
        <v>5</v>
      </c>
      <c r="J97" s="1">
        <f t="shared" si="10"/>
        <v>27</v>
      </c>
      <c r="K97">
        <f t="shared" si="11"/>
        <v>25.560000000000002</v>
      </c>
    </row>
    <row r="98" spans="1:11" x14ac:dyDescent="0.4">
      <c r="A98" t="s">
        <v>100</v>
      </c>
      <c r="B98">
        <v>300</v>
      </c>
      <c r="C98">
        <v>300</v>
      </c>
      <c r="D98">
        <v>371276</v>
      </c>
      <c r="E98">
        <f t="shared" si="6"/>
        <v>2241</v>
      </c>
      <c r="F98">
        <v>267</v>
      </c>
      <c r="G98">
        <f t="shared" si="7"/>
        <v>26.7</v>
      </c>
      <c r="H98">
        <f t="shared" si="9"/>
        <v>20</v>
      </c>
      <c r="I98">
        <f t="shared" si="8"/>
        <v>2</v>
      </c>
      <c r="J98" s="1">
        <f t="shared" si="10"/>
        <v>10.8</v>
      </c>
      <c r="K98">
        <f t="shared" si="11"/>
        <v>20.520000000000003</v>
      </c>
    </row>
    <row r="99" spans="1:11" x14ac:dyDescent="0.4">
      <c r="A99" t="s">
        <v>101</v>
      </c>
      <c r="B99">
        <v>300</v>
      </c>
      <c r="C99">
        <v>300</v>
      </c>
      <c r="D99">
        <v>371306</v>
      </c>
      <c r="E99">
        <f t="shared" si="6"/>
        <v>2271</v>
      </c>
      <c r="F99">
        <v>268</v>
      </c>
      <c r="G99">
        <f t="shared" si="7"/>
        <v>26.8</v>
      </c>
      <c r="H99">
        <f t="shared" si="9"/>
        <v>30</v>
      </c>
      <c r="I99">
        <f t="shared" si="8"/>
        <v>-1</v>
      </c>
      <c r="J99" s="1">
        <f t="shared" si="10"/>
        <v>-3.6</v>
      </c>
      <c r="K99">
        <f t="shared" si="11"/>
        <v>16.559999999999999</v>
      </c>
    </row>
    <row r="100" spans="1:11" x14ac:dyDescent="0.4">
      <c r="A100" t="s">
        <v>102</v>
      </c>
      <c r="B100">
        <v>300</v>
      </c>
      <c r="C100">
        <v>300</v>
      </c>
      <c r="D100">
        <v>371326</v>
      </c>
      <c r="E100">
        <f t="shared" si="6"/>
        <v>2291</v>
      </c>
      <c r="F100">
        <v>263</v>
      </c>
      <c r="G100">
        <f t="shared" si="7"/>
        <v>26.3</v>
      </c>
      <c r="H100">
        <f t="shared" si="9"/>
        <v>20</v>
      </c>
      <c r="I100">
        <f t="shared" si="8"/>
        <v>5</v>
      </c>
      <c r="J100" s="1">
        <f t="shared" si="10"/>
        <v>27</v>
      </c>
      <c r="K100">
        <f t="shared" si="11"/>
        <v>16.560000000000002</v>
      </c>
    </row>
    <row r="101" spans="1:11" x14ac:dyDescent="0.4">
      <c r="A101" t="s">
        <v>103</v>
      </c>
      <c r="B101">
        <v>300</v>
      </c>
      <c r="C101">
        <v>300</v>
      </c>
      <c r="D101">
        <v>371347</v>
      </c>
      <c r="E101">
        <f t="shared" si="6"/>
        <v>2312</v>
      </c>
      <c r="F101">
        <v>262</v>
      </c>
      <c r="G101">
        <f t="shared" si="7"/>
        <v>26.2</v>
      </c>
      <c r="H101">
        <f t="shared" si="9"/>
        <v>21</v>
      </c>
      <c r="I101">
        <f t="shared" si="8"/>
        <v>1</v>
      </c>
      <c r="J101" s="1">
        <f t="shared" si="10"/>
        <v>5.1428571428571423</v>
      </c>
      <c r="K101">
        <f t="shared" si="11"/>
        <v>13.268571428571429</v>
      </c>
    </row>
    <row r="102" spans="1:11" x14ac:dyDescent="0.4">
      <c r="A102" t="s">
        <v>104</v>
      </c>
      <c r="B102">
        <v>300</v>
      </c>
      <c r="C102">
        <v>300</v>
      </c>
      <c r="D102">
        <v>371376</v>
      </c>
      <c r="E102">
        <f t="shared" si="6"/>
        <v>2341</v>
      </c>
      <c r="F102">
        <v>261</v>
      </c>
      <c r="G102">
        <f t="shared" si="7"/>
        <v>26.1</v>
      </c>
      <c r="H102">
        <f t="shared" si="9"/>
        <v>29</v>
      </c>
      <c r="I102">
        <f t="shared" si="8"/>
        <v>1</v>
      </c>
      <c r="J102" s="1">
        <f t="shared" si="10"/>
        <v>3.7241379310344827</v>
      </c>
      <c r="K102">
        <f t="shared" si="11"/>
        <v>8.6133990147783255</v>
      </c>
    </row>
    <row r="103" spans="1:11" x14ac:dyDescent="0.4">
      <c r="A103" t="s">
        <v>105</v>
      </c>
      <c r="B103">
        <v>300</v>
      </c>
      <c r="C103">
        <v>300</v>
      </c>
      <c r="D103">
        <v>371396</v>
      </c>
      <c r="E103">
        <f t="shared" si="6"/>
        <v>2361</v>
      </c>
      <c r="F103">
        <v>260</v>
      </c>
      <c r="G103">
        <f t="shared" si="7"/>
        <v>26</v>
      </c>
      <c r="H103">
        <f t="shared" si="9"/>
        <v>20</v>
      </c>
      <c r="I103">
        <f t="shared" si="8"/>
        <v>1</v>
      </c>
      <c r="J103" s="1">
        <f t="shared" si="10"/>
        <v>5.4</v>
      </c>
      <c r="K103">
        <f t="shared" si="11"/>
        <v>7.5333990147783236</v>
      </c>
    </row>
    <row r="104" spans="1:11" x14ac:dyDescent="0.4">
      <c r="A104" t="s">
        <v>106</v>
      </c>
      <c r="B104">
        <v>300</v>
      </c>
      <c r="C104">
        <v>300</v>
      </c>
      <c r="D104">
        <v>371416</v>
      </c>
      <c r="E104">
        <f t="shared" si="6"/>
        <v>2381</v>
      </c>
      <c r="F104">
        <v>262</v>
      </c>
      <c r="G104">
        <f t="shared" si="7"/>
        <v>26.2</v>
      </c>
      <c r="H104">
        <f t="shared" si="9"/>
        <v>20</v>
      </c>
      <c r="I104">
        <f t="shared" si="8"/>
        <v>-2</v>
      </c>
      <c r="J104" s="1">
        <f t="shared" si="10"/>
        <v>-10.8</v>
      </c>
      <c r="K104">
        <f t="shared" si="11"/>
        <v>6.0933990147783241</v>
      </c>
    </row>
    <row r="105" spans="1:11" x14ac:dyDescent="0.4">
      <c r="A105" t="s">
        <v>107</v>
      </c>
      <c r="B105">
        <v>300</v>
      </c>
      <c r="C105">
        <v>300</v>
      </c>
      <c r="D105">
        <v>371446</v>
      </c>
      <c r="E105">
        <f t="shared" si="6"/>
        <v>2411</v>
      </c>
      <c r="F105">
        <v>261</v>
      </c>
      <c r="G105">
        <f t="shared" si="7"/>
        <v>26.1</v>
      </c>
      <c r="H105">
        <f t="shared" si="9"/>
        <v>30</v>
      </c>
      <c r="I105">
        <f t="shared" si="8"/>
        <v>1</v>
      </c>
      <c r="J105" s="1">
        <f t="shared" si="10"/>
        <v>3.6</v>
      </c>
      <c r="K105">
        <f t="shared" si="11"/>
        <v>1.4133990147783249</v>
      </c>
    </row>
    <row r="106" spans="1:11" x14ac:dyDescent="0.4">
      <c r="A106" t="s">
        <v>108</v>
      </c>
      <c r="B106">
        <v>300</v>
      </c>
      <c r="C106">
        <v>300</v>
      </c>
      <c r="D106">
        <v>371466</v>
      </c>
      <c r="E106">
        <f t="shared" si="6"/>
        <v>2431</v>
      </c>
      <c r="F106">
        <v>260</v>
      </c>
      <c r="G106">
        <f t="shared" si="7"/>
        <v>26</v>
      </c>
      <c r="H106">
        <f t="shared" si="9"/>
        <v>20</v>
      </c>
      <c r="I106">
        <f t="shared" si="8"/>
        <v>1</v>
      </c>
      <c r="J106" s="1">
        <f t="shared" si="10"/>
        <v>5.4</v>
      </c>
      <c r="K106">
        <f t="shared" si="11"/>
        <v>1.4648275862068965</v>
      </c>
    </row>
    <row r="107" spans="1:11" x14ac:dyDescent="0.4">
      <c r="A107" t="s">
        <v>109</v>
      </c>
      <c r="B107">
        <v>300</v>
      </c>
      <c r="C107">
        <v>300</v>
      </c>
      <c r="D107">
        <v>371486</v>
      </c>
      <c r="E107">
        <f t="shared" si="6"/>
        <v>2451</v>
      </c>
      <c r="F107">
        <v>260</v>
      </c>
      <c r="G107">
        <f t="shared" si="7"/>
        <v>26</v>
      </c>
      <c r="H107">
        <f t="shared" si="9"/>
        <v>20</v>
      </c>
      <c r="I107">
        <f t="shared" si="8"/>
        <v>0</v>
      </c>
      <c r="J107" s="1">
        <f t="shared" si="10"/>
        <v>0</v>
      </c>
      <c r="K107">
        <f t="shared" si="11"/>
        <v>0.72</v>
      </c>
    </row>
    <row r="108" spans="1:11" x14ac:dyDescent="0.4">
      <c r="A108" t="s">
        <v>110</v>
      </c>
      <c r="B108">
        <v>300</v>
      </c>
      <c r="C108">
        <v>300</v>
      </c>
      <c r="D108">
        <v>371516</v>
      </c>
      <c r="E108">
        <f t="shared" si="6"/>
        <v>2481</v>
      </c>
      <c r="F108">
        <v>260</v>
      </c>
      <c r="G108">
        <f t="shared" si="7"/>
        <v>26</v>
      </c>
      <c r="H108">
        <f t="shared" si="9"/>
        <v>30</v>
      </c>
      <c r="I108">
        <f t="shared" si="8"/>
        <v>0</v>
      </c>
      <c r="J108" s="1">
        <f t="shared" si="10"/>
        <v>0</v>
      </c>
      <c r="K108">
        <f t="shared" si="11"/>
        <v>-0.36000000000000015</v>
      </c>
    </row>
    <row r="109" spans="1:11" x14ac:dyDescent="0.4">
      <c r="A109" t="s">
        <v>111</v>
      </c>
      <c r="B109">
        <v>300</v>
      </c>
      <c r="C109">
        <v>300</v>
      </c>
      <c r="D109">
        <v>371536</v>
      </c>
      <c r="E109">
        <f t="shared" si="6"/>
        <v>2501</v>
      </c>
      <c r="F109">
        <v>258</v>
      </c>
      <c r="G109">
        <f t="shared" si="7"/>
        <v>25.8</v>
      </c>
      <c r="H109">
        <f t="shared" si="9"/>
        <v>20</v>
      </c>
      <c r="I109">
        <f t="shared" si="8"/>
        <v>2</v>
      </c>
      <c r="J109" s="1">
        <f t="shared" si="10"/>
        <v>10.8</v>
      </c>
      <c r="K109">
        <f t="shared" si="11"/>
        <v>3.96</v>
      </c>
    </row>
    <row r="110" spans="1:11" x14ac:dyDescent="0.4">
      <c r="A110" t="s">
        <v>112</v>
      </c>
      <c r="B110">
        <v>300</v>
      </c>
      <c r="C110">
        <v>300</v>
      </c>
      <c r="D110">
        <v>371556</v>
      </c>
      <c r="E110">
        <f t="shared" si="6"/>
        <v>2521</v>
      </c>
      <c r="F110">
        <v>261</v>
      </c>
      <c r="G110">
        <f t="shared" si="7"/>
        <v>26.1</v>
      </c>
      <c r="H110">
        <f t="shared" si="9"/>
        <v>20</v>
      </c>
      <c r="I110">
        <f t="shared" si="8"/>
        <v>-3</v>
      </c>
      <c r="J110" s="1">
        <f t="shared" si="10"/>
        <v>-16.2</v>
      </c>
      <c r="K110">
        <f t="shared" si="11"/>
        <v>0</v>
      </c>
    </row>
    <row r="111" spans="1:11" x14ac:dyDescent="0.4">
      <c r="A111" t="s">
        <v>113</v>
      </c>
      <c r="B111">
        <v>300</v>
      </c>
      <c r="C111">
        <v>300</v>
      </c>
      <c r="D111">
        <v>371586</v>
      </c>
      <c r="E111">
        <f t="shared" si="6"/>
        <v>2551</v>
      </c>
      <c r="F111">
        <v>261</v>
      </c>
      <c r="G111">
        <f t="shared" si="7"/>
        <v>26.1</v>
      </c>
      <c r="H111">
        <f t="shared" si="9"/>
        <v>30</v>
      </c>
      <c r="I111">
        <f t="shared" si="8"/>
        <v>0</v>
      </c>
      <c r="J111" s="1">
        <f t="shared" si="10"/>
        <v>0</v>
      </c>
      <c r="K111">
        <f t="shared" si="11"/>
        <v>-1.0799999999999996</v>
      </c>
    </row>
    <row r="112" spans="1:11" x14ac:dyDescent="0.4">
      <c r="A112" t="s">
        <v>114</v>
      </c>
      <c r="B112">
        <v>300</v>
      </c>
      <c r="C112">
        <v>300</v>
      </c>
      <c r="D112">
        <v>371606</v>
      </c>
      <c r="E112">
        <f t="shared" si="6"/>
        <v>2571</v>
      </c>
      <c r="F112">
        <v>266</v>
      </c>
      <c r="G112">
        <f t="shared" si="7"/>
        <v>26.6</v>
      </c>
      <c r="H112">
        <f t="shared" si="9"/>
        <v>20</v>
      </c>
      <c r="I112">
        <f t="shared" si="8"/>
        <v>-5</v>
      </c>
      <c r="J112" s="1">
        <f t="shared" si="10"/>
        <v>-27</v>
      </c>
      <c r="K112">
        <f t="shared" si="11"/>
        <v>-6.4799999999999995</v>
      </c>
    </row>
    <row r="113" spans="1:11" x14ac:dyDescent="0.4">
      <c r="A113" t="s">
        <v>115</v>
      </c>
      <c r="B113">
        <v>300</v>
      </c>
      <c r="C113">
        <v>300</v>
      </c>
      <c r="D113">
        <v>371626</v>
      </c>
      <c r="E113">
        <f t="shared" si="6"/>
        <v>2591</v>
      </c>
      <c r="F113">
        <v>261</v>
      </c>
      <c r="G113">
        <f t="shared" si="7"/>
        <v>26.1</v>
      </c>
      <c r="H113">
        <f t="shared" si="9"/>
        <v>20</v>
      </c>
      <c r="I113">
        <f t="shared" si="8"/>
        <v>5</v>
      </c>
      <c r="J113" s="1">
        <f t="shared" si="10"/>
        <v>27</v>
      </c>
      <c r="K113">
        <f t="shared" si="11"/>
        <v>-1.0799999999999996</v>
      </c>
    </row>
    <row r="114" spans="1:11" hidden="1" x14ac:dyDescent="0.4">
      <c r="A114" t="s">
        <v>116</v>
      </c>
      <c r="B114">
        <v>300</v>
      </c>
      <c r="C114">
        <v>300</v>
      </c>
      <c r="D114">
        <v>371656</v>
      </c>
      <c r="E114">
        <f t="shared" si="6"/>
        <v>2621</v>
      </c>
      <c r="F114">
        <v>261</v>
      </c>
      <c r="I114">
        <f t="shared" si="8"/>
        <v>0</v>
      </c>
    </row>
    <row r="115" spans="1:11" hidden="1" x14ac:dyDescent="0.4">
      <c r="A115" t="s">
        <v>117</v>
      </c>
      <c r="B115">
        <v>300</v>
      </c>
      <c r="C115">
        <v>300</v>
      </c>
      <c r="D115">
        <v>371676</v>
      </c>
      <c r="E115">
        <f t="shared" si="6"/>
        <v>2641</v>
      </c>
      <c r="F115">
        <v>260</v>
      </c>
      <c r="I115">
        <f t="shared" si="8"/>
        <v>1</v>
      </c>
    </row>
    <row r="116" spans="1:11" hidden="1" x14ac:dyDescent="0.4">
      <c r="A116" t="s">
        <v>118</v>
      </c>
      <c r="B116">
        <v>300</v>
      </c>
      <c r="C116">
        <v>300</v>
      </c>
      <c r="D116">
        <v>371706</v>
      </c>
      <c r="E116">
        <f t="shared" si="6"/>
        <v>2671</v>
      </c>
      <c r="F116">
        <v>261</v>
      </c>
      <c r="I116">
        <f t="shared" si="8"/>
        <v>-1</v>
      </c>
    </row>
    <row r="117" spans="1:11" hidden="1" x14ac:dyDescent="0.4">
      <c r="A117" t="s">
        <v>119</v>
      </c>
      <c r="B117">
        <v>300</v>
      </c>
      <c r="C117">
        <v>300</v>
      </c>
      <c r="D117">
        <v>371726</v>
      </c>
      <c r="E117">
        <f t="shared" si="6"/>
        <v>2691</v>
      </c>
      <c r="F117">
        <v>262</v>
      </c>
      <c r="I117">
        <f t="shared" si="8"/>
        <v>-1</v>
      </c>
    </row>
    <row r="118" spans="1:11" hidden="1" x14ac:dyDescent="0.4">
      <c r="A118" t="s">
        <v>120</v>
      </c>
      <c r="B118">
        <v>300</v>
      </c>
      <c r="C118">
        <v>300</v>
      </c>
      <c r="D118">
        <v>371746</v>
      </c>
      <c r="E118">
        <f t="shared" si="6"/>
        <v>2711</v>
      </c>
      <c r="F118">
        <v>258</v>
      </c>
      <c r="I118">
        <f t="shared" si="8"/>
        <v>4</v>
      </c>
    </row>
    <row r="119" spans="1:11" hidden="1" x14ac:dyDescent="0.4">
      <c r="A119" t="s">
        <v>121</v>
      </c>
      <c r="B119">
        <v>300</v>
      </c>
      <c r="C119">
        <v>300</v>
      </c>
      <c r="D119">
        <v>371766</v>
      </c>
      <c r="E119">
        <f t="shared" si="6"/>
        <v>2731</v>
      </c>
      <c r="F119">
        <v>262</v>
      </c>
      <c r="I119">
        <f t="shared" si="8"/>
        <v>-4</v>
      </c>
    </row>
    <row r="120" spans="1:11" hidden="1" x14ac:dyDescent="0.4">
      <c r="A120" t="s">
        <v>122</v>
      </c>
      <c r="B120">
        <v>300</v>
      </c>
      <c r="C120">
        <v>300</v>
      </c>
      <c r="D120">
        <v>371796</v>
      </c>
      <c r="E120">
        <f t="shared" si="6"/>
        <v>2761</v>
      </c>
      <c r="F120">
        <v>263</v>
      </c>
      <c r="I120">
        <f t="shared" si="8"/>
        <v>-1</v>
      </c>
    </row>
    <row r="121" spans="1:11" hidden="1" x14ac:dyDescent="0.4">
      <c r="A121" t="s">
        <v>123</v>
      </c>
      <c r="B121">
        <v>300</v>
      </c>
      <c r="C121">
        <v>300</v>
      </c>
      <c r="D121">
        <v>371816</v>
      </c>
      <c r="E121">
        <f t="shared" si="6"/>
        <v>2781</v>
      </c>
      <c r="F121">
        <v>260</v>
      </c>
      <c r="I121">
        <f t="shared" si="8"/>
        <v>3</v>
      </c>
    </row>
    <row r="122" spans="1:11" hidden="1" x14ac:dyDescent="0.4">
      <c r="A122" t="s">
        <v>124</v>
      </c>
      <c r="B122">
        <v>300</v>
      </c>
      <c r="C122">
        <v>300</v>
      </c>
      <c r="D122">
        <v>371836</v>
      </c>
      <c r="E122">
        <f t="shared" si="6"/>
        <v>2801</v>
      </c>
      <c r="F122">
        <v>260</v>
      </c>
      <c r="I122">
        <f t="shared" si="8"/>
        <v>0</v>
      </c>
    </row>
    <row r="123" spans="1:11" hidden="1" x14ac:dyDescent="0.4">
      <c r="A123" t="s">
        <v>125</v>
      </c>
      <c r="B123">
        <v>300</v>
      </c>
      <c r="C123">
        <v>300</v>
      </c>
      <c r="D123">
        <v>371866</v>
      </c>
      <c r="E123">
        <f t="shared" si="6"/>
        <v>2831</v>
      </c>
      <c r="F123">
        <v>263</v>
      </c>
      <c r="I123">
        <f t="shared" si="8"/>
        <v>-3</v>
      </c>
    </row>
    <row r="124" spans="1:11" hidden="1" x14ac:dyDescent="0.4">
      <c r="A124" t="s">
        <v>126</v>
      </c>
      <c r="B124">
        <v>300</v>
      </c>
      <c r="C124">
        <v>300</v>
      </c>
      <c r="D124">
        <v>371886</v>
      </c>
      <c r="E124">
        <f t="shared" si="6"/>
        <v>2851</v>
      </c>
      <c r="F124">
        <v>262</v>
      </c>
      <c r="I124">
        <f t="shared" si="8"/>
        <v>1</v>
      </c>
    </row>
    <row r="125" spans="1:11" hidden="1" x14ac:dyDescent="0.4">
      <c r="A125" t="s">
        <v>127</v>
      </c>
      <c r="B125">
        <v>300</v>
      </c>
      <c r="C125">
        <v>300</v>
      </c>
      <c r="D125">
        <v>371906</v>
      </c>
      <c r="E125">
        <f t="shared" si="6"/>
        <v>2871</v>
      </c>
      <c r="F125">
        <v>260</v>
      </c>
      <c r="I125">
        <f t="shared" si="8"/>
        <v>2</v>
      </c>
    </row>
    <row r="126" spans="1:11" hidden="1" x14ac:dyDescent="0.4">
      <c r="A126" t="s">
        <v>128</v>
      </c>
      <c r="B126">
        <v>300</v>
      </c>
      <c r="C126">
        <v>300</v>
      </c>
      <c r="D126">
        <v>371936</v>
      </c>
      <c r="E126">
        <f t="shared" si="6"/>
        <v>2901</v>
      </c>
      <c r="F126">
        <v>261</v>
      </c>
      <c r="I126">
        <f t="shared" si="8"/>
        <v>-1</v>
      </c>
    </row>
    <row r="127" spans="1:11" hidden="1" x14ac:dyDescent="0.4">
      <c r="A127" t="s">
        <v>129</v>
      </c>
      <c r="B127">
        <v>300</v>
      </c>
      <c r="C127">
        <v>300</v>
      </c>
      <c r="D127">
        <v>371956</v>
      </c>
      <c r="E127">
        <f t="shared" si="6"/>
        <v>2921</v>
      </c>
      <c r="F127">
        <v>260</v>
      </c>
      <c r="I127">
        <f t="shared" si="8"/>
        <v>1</v>
      </c>
    </row>
    <row r="128" spans="1:11" hidden="1" x14ac:dyDescent="0.4">
      <c r="A128" t="s">
        <v>130</v>
      </c>
      <c r="B128">
        <v>300</v>
      </c>
      <c r="C128">
        <v>300</v>
      </c>
      <c r="D128">
        <v>371977</v>
      </c>
      <c r="E128">
        <f t="shared" si="6"/>
        <v>2942</v>
      </c>
      <c r="F128">
        <v>259</v>
      </c>
      <c r="I128">
        <f t="shared" si="8"/>
        <v>1</v>
      </c>
    </row>
    <row r="129" spans="1:9" hidden="1" x14ac:dyDescent="0.4">
      <c r="A129" t="s">
        <v>131</v>
      </c>
      <c r="B129">
        <v>300</v>
      </c>
      <c r="C129">
        <v>300</v>
      </c>
      <c r="D129">
        <v>372006</v>
      </c>
      <c r="E129">
        <f t="shared" si="6"/>
        <v>2971</v>
      </c>
      <c r="F129">
        <v>261</v>
      </c>
      <c r="I129">
        <f t="shared" si="8"/>
        <v>-2</v>
      </c>
    </row>
    <row r="130" spans="1:9" hidden="1" x14ac:dyDescent="0.4">
      <c r="A130" t="s">
        <v>132</v>
      </c>
      <c r="B130">
        <v>300</v>
      </c>
      <c r="C130">
        <v>300</v>
      </c>
      <c r="D130">
        <v>372026</v>
      </c>
      <c r="E130">
        <f t="shared" si="6"/>
        <v>2991</v>
      </c>
      <c r="F130">
        <v>263</v>
      </c>
      <c r="I130">
        <f t="shared" si="8"/>
        <v>-2</v>
      </c>
    </row>
    <row r="131" spans="1:9" hidden="1" x14ac:dyDescent="0.4">
      <c r="A131" t="s">
        <v>133</v>
      </c>
      <c r="B131">
        <v>300</v>
      </c>
      <c r="C131">
        <v>300</v>
      </c>
      <c r="D131">
        <v>372056</v>
      </c>
      <c r="E131">
        <f t="shared" ref="E131:E194" si="12">D131-$D$2</f>
        <v>3021</v>
      </c>
      <c r="F131">
        <v>263</v>
      </c>
      <c r="I131">
        <f t="shared" ref="I131:I194" si="13">F130-F131</f>
        <v>0</v>
      </c>
    </row>
    <row r="132" spans="1:9" hidden="1" x14ac:dyDescent="0.4">
      <c r="A132" t="s">
        <v>134</v>
      </c>
      <c r="B132">
        <v>300</v>
      </c>
      <c r="C132">
        <v>300</v>
      </c>
      <c r="D132">
        <v>372076</v>
      </c>
      <c r="E132">
        <f t="shared" si="12"/>
        <v>3041</v>
      </c>
      <c r="F132">
        <v>262</v>
      </c>
      <c r="I132">
        <f t="shared" si="13"/>
        <v>1</v>
      </c>
    </row>
    <row r="133" spans="1:9" hidden="1" x14ac:dyDescent="0.4">
      <c r="A133" t="s">
        <v>135</v>
      </c>
      <c r="B133">
        <v>300</v>
      </c>
      <c r="C133">
        <v>300</v>
      </c>
      <c r="D133">
        <v>372096</v>
      </c>
      <c r="E133">
        <f t="shared" si="12"/>
        <v>3061</v>
      </c>
      <c r="F133">
        <v>261</v>
      </c>
      <c r="I133">
        <f t="shared" si="13"/>
        <v>1</v>
      </c>
    </row>
    <row r="134" spans="1:9" hidden="1" x14ac:dyDescent="0.4">
      <c r="A134" t="s">
        <v>136</v>
      </c>
      <c r="B134">
        <v>300</v>
      </c>
      <c r="C134">
        <v>300</v>
      </c>
      <c r="D134">
        <v>372126</v>
      </c>
      <c r="E134">
        <f t="shared" si="12"/>
        <v>3091</v>
      </c>
      <c r="F134">
        <v>261</v>
      </c>
      <c r="I134">
        <f t="shared" si="13"/>
        <v>0</v>
      </c>
    </row>
    <row r="135" spans="1:9" hidden="1" x14ac:dyDescent="0.4">
      <c r="A135" t="s">
        <v>137</v>
      </c>
      <c r="B135">
        <v>300</v>
      </c>
      <c r="C135">
        <v>300</v>
      </c>
      <c r="D135">
        <v>372146</v>
      </c>
      <c r="E135">
        <f t="shared" si="12"/>
        <v>3111</v>
      </c>
      <c r="F135">
        <v>261</v>
      </c>
      <c r="I135">
        <f t="shared" si="13"/>
        <v>0</v>
      </c>
    </row>
    <row r="136" spans="1:9" hidden="1" x14ac:dyDescent="0.4">
      <c r="A136" t="s">
        <v>138</v>
      </c>
      <c r="B136">
        <v>300</v>
      </c>
      <c r="C136">
        <v>300</v>
      </c>
      <c r="D136">
        <v>372166</v>
      </c>
      <c r="E136">
        <f t="shared" si="12"/>
        <v>3131</v>
      </c>
      <c r="F136">
        <v>259</v>
      </c>
      <c r="I136">
        <f t="shared" si="13"/>
        <v>2</v>
      </c>
    </row>
    <row r="137" spans="1:9" hidden="1" x14ac:dyDescent="0.4">
      <c r="A137" t="s">
        <v>139</v>
      </c>
      <c r="B137">
        <v>300</v>
      </c>
      <c r="C137">
        <v>300</v>
      </c>
      <c r="D137">
        <v>372196</v>
      </c>
      <c r="E137">
        <f t="shared" si="12"/>
        <v>3161</v>
      </c>
      <c r="F137">
        <v>261</v>
      </c>
      <c r="I137">
        <f t="shared" si="13"/>
        <v>-2</v>
      </c>
    </row>
    <row r="138" spans="1:9" hidden="1" x14ac:dyDescent="0.4">
      <c r="A138" t="s">
        <v>140</v>
      </c>
      <c r="B138">
        <v>300</v>
      </c>
      <c r="C138">
        <v>300</v>
      </c>
      <c r="D138">
        <v>372216</v>
      </c>
      <c r="E138">
        <f t="shared" si="12"/>
        <v>3181</v>
      </c>
      <c r="F138">
        <v>261</v>
      </c>
      <c r="I138">
        <f t="shared" si="13"/>
        <v>0</v>
      </c>
    </row>
    <row r="139" spans="1:9" hidden="1" x14ac:dyDescent="0.4">
      <c r="A139" t="s">
        <v>141</v>
      </c>
      <c r="B139">
        <v>300</v>
      </c>
      <c r="C139">
        <v>300</v>
      </c>
      <c r="D139">
        <v>372236</v>
      </c>
      <c r="E139">
        <f t="shared" si="12"/>
        <v>3201</v>
      </c>
      <c r="F139">
        <v>260</v>
      </c>
      <c r="I139">
        <f t="shared" si="13"/>
        <v>1</v>
      </c>
    </row>
    <row r="140" spans="1:9" hidden="1" x14ac:dyDescent="0.4">
      <c r="A140" t="s">
        <v>142</v>
      </c>
      <c r="B140">
        <v>300</v>
      </c>
      <c r="C140">
        <v>300</v>
      </c>
      <c r="D140">
        <v>372266</v>
      </c>
      <c r="E140">
        <f t="shared" si="12"/>
        <v>3231</v>
      </c>
      <c r="F140">
        <v>260</v>
      </c>
      <c r="I140">
        <f t="shared" si="13"/>
        <v>0</v>
      </c>
    </row>
    <row r="141" spans="1:9" hidden="1" x14ac:dyDescent="0.4">
      <c r="A141" t="s">
        <v>143</v>
      </c>
      <c r="B141">
        <v>300</v>
      </c>
      <c r="C141">
        <v>300</v>
      </c>
      <c r="D141">
        <v>372286</v>
      </c>
      <c r="E141">
        <f t="shared" si="12"/>
        <v>3251</v>
      </c>
      <c r="F141">
        <v>262</v>
      </c>
      <c r="I141">
        <f t="shared" si="13"/>
        <v>-2</v>
      </c>
    </row>
    <row r="142" spans="1:9" hidden="1" x14ac:dyDescent="0.4">
      <c r="A142" t="s">
        <v>144</v>
      </c>
      <c r="B142">
        <v>300</v>
      </c>
      <c r="C142">
        <v>300</v>
      </c>
      <c r="D142">
        <v>372306</v>
      </c>
      <c r="E142">
        <f t="shared" si="12"/>
        <v>3271</v>
      </c>
      <c r="F142">
        <v>258</v>
      </c>
      <c r="I142">
        <f t="shared" si="13"/>
        <v>4</v>
      </c>
    </row>
    <row r="143" spans="1:9" hidden="1" x14ac:dyDescent="0.4">
      <c r="A143" t="s">
        <v>145</v>
      </c>
      <c r="B143">
        <v>300</v>
      </c>
      <c r="C143">
        <v>300</v>
      </c>
      <c r="D143">
        <v>372336</v>
      </c>
      <c r="E143">
        <f t="shared" si="12"/>
        <v>3301</v>
      </c>
      <c r="F143">
        <v>260</v>
      </c>
      <c r="I143">
        <f t="shared" si="13"/>
        <v>-2</v>
      </c>
    </row>
    <row r="144" spans="1:9" hidden="1" x14ac:dyDescent="0.4">
      <c r="A144" t="s">
        <v>146</v>
      </c>
      <c r="B144">
        <v>300</v>
      </c>
      <c r="C144">
        <v>300</v>
      </c>
      <c r="D144">
        <v>372356</v>
      </c>
      <c r="E144">
        <f t="shared" si="12"/>
        <v>3321</v>
      </c>
      <c r="F144">
        <v>259</v>
      </c>
      <c r="I144">
        <f t="shared" si="13"/>
        <v>1</v>
      </c>
    </row>
    <row r="145" spans="1:9" hidden="1" x14ac:dyDescent="0.4">
      <c r="A145" t="s">
        <v>147</v>
      </c>
      <c r="B145">
        <v>300</v>
      </c>
      <c r="C145">
        <v>300</v>
      </c>
      <c r="D145">
        <v>372376</v>
      </c>
      <c r="E145">
        <f t="shared" si="12"/>
        <v>3341</v>
      </c>
      <c r="F145">
        <v>260</v>
      </c>
      <c r="I145">
        <f t="shared" si="13"/>
        <v>-1</v>
      </c>
    </row>
    <row r="146" spans="1:9" hidden="1" x14ac:dyDescent="0.4">
      <c r="A146" t="s">
        <v>148</v>
      </c>
      <c r="B146">
        <v>300</v>
      </c>
      <c r="C146">
        <v>300</v>
      </c>
      <c r="D146">
        <v>372406</v>
      </c>
      <c r="E146">
        <f t="shared" si="12"/>
        <v>3371</v>
      </c>
      <c r="F146">
        <v>258</v>
      </c>
      <c r="I146">
        <f t="shared" si="13"/>
        <v>2</v>
      </c>
    </row>
    <row r="147" spans="1:9" hidden="1" x14ac:dyDescent="0.4">
      <c r="A147" t="s">
        <v>149</v>
      </c>
      <c r="B147">
        <v>300</v>
      </c>
      <c r="C147">
        <v>300</v>
      </c>
      <c r="D147">
        <v>372426</v>
      </c>
      <c r="E147">
        <f t="shared" si="12"/>
        <v>3391</v>
      </c>
      <c r="F147">
        <v>260</v>
      </c>
      <c r="I147">
        <f t="shared" si="13"/>
        <v>-2</v>
      </c>
    </row>
    <row r="148" spans="1:9" hidden="1" x14ac:dyDescent="0.4">
      <c r="A148" t="s">
        <v>150</v>
      </c>
      <c r="B148">
        <v>300</v>
      </c>
      <c r="C148">
        <v>300</v>
      </c>
      <c r="D148">
        <v>372446</v>
      </c>
      <c r="E148">
        <f t="shared" si="12"/>
        <v>3411</v>
      </c>
      <c r="F148">
        <v>259</v>
      </c>
      <c r="I148">
        <f t="shared" si="13"/>
        <v>1</v>
      </c>
    </row>
    <row r="149" spans="1:9" hidden="1" x14ac:dyDescent="0.4">
      <c r="A149" t="s">
        <v>151</v>
      </c>
      <c r="B149">
        <v>300</v>
      </c>
      <c r="C149">
        <v>300</v>
      </c>
      <c r="D149">
        <v>372476</v>
      </c>
      <c r="E149">
        <f t="shared" si="12"/>
        <v>3441</v>
      </c>
      <c r="F149">
        <v>260</v>
      </c>
      <c r="I149">
        <f t="shared" si="13"/>
        <v>-1</v>
      </c>
    </row>
    <row r="150" spans="1:9" hidden="1" x14ac:dyDescent="0.4">
      <c r="A150" t="s">
        <v>152</v>
      </c>
      <c r="B150">
        <v>300</v>
      </c>
      <c r="C150">
        <v>300</v>
      </c>
      <c r="D150">
        <v>372496</v>
      </c>
      <c r="E150">
        <f t="shared" si="12"/>
        <v>3461</v>
      </c>
      <c r="F150">
        <v>260</v>
      </c>
      <c r="I150">
        <f t="shared" si="13"/>
        <v>0</v>
      </c>
    </row>
    <row r="151" spans="1:9" hidden="1" x14ac:dyDescent="0.4">
      <c r="A151" t="s">
        <v>153</v>
      </c>
      <c r="B151">
        <v>300</v>
      </c>
      <c r="C151">
        <v>300</v>
      </c>
      <c r="D151">
        <v>372526</v>
      </c>
      <c r="E151">
        <f t="shared" si="12"/>
        <v>3491</v>
      </c>
      <c r="F151">
        <v>261</v>
      </c>
      <c r="I151">
        <f t="shared" si="13"/>
        <v>-1</v>
      </c>
    </row>
    <row r="152" spans="1:9" hidden="1" x14ac:dyDescent="0.4">
      <c r="A152" t="s">
        <v>154</v>
      </c>
      <c r="B152">
        <v>300</v>
      </c>
      <c r="C152">
        <v>300</v>
      </c>
      <c r="D152">
        <v>372546</v>
      </c>
      <c r="E152">
        <f t="shared" si="12"/>
        <v>3511</v>
      </c>
      <c r="F152">
        <v>259</v>
      </c>
      <c r="I152">
        <f t="shared" si="13"/>
        <v>2</v>
      </c>
    </row>
    <row r="153" spans="1:9" hidden="1" x14ac:dyDescent="0.4">
      <c r="A153" t="s">
        <v>155</v>
      </c>
      <c r="B153">
        <v>300</v>
      </c>
      <c r="C153">
        <v>300</v>
      </c>
      <c r="D153">
        <v>372566</v>
      </c>
      <c r="E153">
        <f t="shared" si="12"/>
        <v>3531</v>
      </c>
      <c r="F153">
        <v>259</v>
      </c>
      <c r="I153">
        <f t="shared" si="13"/>
        <v>0</v>
      </c>
    </row>
    <row r="154" spans="1:9" hidden="1" x14ac:dyDescent="0.4">
      <c r="A154" t="s">
        <v>156</v>
      </c>
      <c r="B154">
        <v>300</v>
      </c>
      <c r="C154">
        <v>300</v>
      </c>
      <c r="D154">
        <v>372596</v>
      </c>
      <c r="E154">
        <f t="shared" si="12"/>
        <v>3561</v>
      </c>
      <c r="F154">
        <v>261</v>
      </c>
      <c r="I154">
        <f t="shared" si="13"/>
        <v>-2</v>
      </c>
    </row>
    <row r="155" spans="1:9" hidden="1" x14ac:dyDescent="0.4">
      <c r="A155" t="s">
        <v>157</v>
      </c>
      <c r="B155">
        <v>300</v>
      </c>
      <c r="C155">
        <v>300</v>
      </c>
      <c r="D155">
        <v>372616</v>
      </c>
      <c r="E155">
        <f t="shared" si="12"/>
        <v>3581</v>
      </c>
      <c r="F155">
        <v>262</v>
      </c>
      <c r="I155">
        <f t="shared" si="13"/>
        <v>-1</v>
      </c>
    </row>
    <row r="156" spans="1:9" hidden="1" x14ac:dyDescent="0.4">
      <c r="A156" t="s">
        <v>158</v>
      </c>
      <c r="B156">
        <v>300</v>
      </c>
      <c r="C156">
        <v>300</v>
      </c>
      <c r="D156">
        <v>372636</v>
      </c>
      <c r="E156">
        <f t="shared" si="12"/>
        <v>3601</v>
      </c>
      <c r="F156">
        <v>261</v>
      </c>
      <c r="I156">
        <f t="shared" si="13"/>
        <v>1</v>
      </c>
    </row>
    <row r="157" spans="1:9" hidden="1" x14ac:dyDescent="0.4">
      <c r="A157" t="s">
        <v>159</v>
      </c>
      <c r="B157">
        <v>300</v>
      </c>
      <c r="C157">
        <v>300</v>
      </c>
      <c r="D157">
        <v>372656</v>
      </c>
      <c r="E157">
        <f t="shared" si="12"/>
        <v>3621</v>
      </c>
      <c r="F157">
        <v>260</v>
      </c>
      <c r="I157">
        <f t="shared" si="13"/>
        <v>1</v>
      </c>
    </row>
    <row r="158" spans="1:9" hidden="1" x14ac:dyDescent="0.4">
      <c r="A158" t="s">
        <v>160</v>
      </c>
      <c r="B158">
        <v>300</v>
      </c>
      <c r="C158">
        <v>300</v>
      </c>
      <c r="D158">
        <v>372686</v>
      </c>
      <c r="E158">
        <f t="shared" si="12"/>
        <v>3651</v>
      </c>
      <c r="F158">
        <v>261</v>
      </c>
      <c r="I158">
        <f t="shared" si="13"/>
        <v>-1</v>
      </c>
    </row>
    <row r="159" spans="1:9" hidden="1" x14ac:dyDescent="0.4">
      <c r="A159" t="s">
        <v>161</v>
      </c>
      <c r="B159">
        <v>300</v>
      </c>
      <c r="C159">
        <v>300</v>
      </c>
      <c r="D159">
        <v>372706</v>
      </c>
      <c r="E159">
        <f t="shared" si="12"/>
        <v>3671</v>
      </c>
      <c r="F159">
        <v>260</v>
      </c>
      <c r="I159">
        <f t="shared" si="13"/>
        <v>1</v>
      </c>
    </row>
    <row r="160" spans="1:9" hidden="1" x14ac:dyDescent="0.4">
      <c r="A160" t="s">
        <v>162</v>
      </c>
      <c r="B160">
        <v>300</v>
      </c>
      <c r="C160">
        <v>300</v>
      </c>
      <c r="D160">
        <v>372726</v>
      </c>
      <c r="E160">
        <f t="shared" si="12"/>
        <v>3691</v>
      </c>
      <c r="F160">
        <v>259</v>
      </c>
      <c r="I160">
        <f t="shared" si="13"/>
        <v>1</v>
      </c>
    </row>
    <row r="161" spans="1:9" hidden="1" x14ac:dyDescent="0.4">
      <c r="A161" t="s">
        <v>163</v>
      </c>
      <c r="B161">
        <v>300</v>
      </c>
      <c r="C161">
        <v>300</v>
      </c>
      <c r="D161">
        <v>372756</v>
      </c>
      <c r="E161">
        <f t="shared" si="12"/>
        <v>3721</v>
      </c>
      <c r="F161">
        <v>261</v>
      </c>
      <c r="I161">
        <f t="shared" si="13"/>
        <v>-2</v>
      </c>
    </row>
    <row r="162" spans="1:9" hidden="1" x14ac:dyDescent="0.4">
      <c r="A162" t="s">
        <v>164</v>
      </c>
      <c r="B162">
        <v>300</v>
      </c>
      <c r="C162">
        <v>300</v>
      </c>
      <c r="D162">
        <v>372776</v>
      </c>
      <c r="E162">
        <f t="shared" si="12"/>
        <v>3741</v>
      </c>
      <c r="F162">
        <v>261</v>
      </c>
      <c r="I162">
        <f t="shared" si="13"/>
        <v>0</v>
      </c>
    </row>
    <row r="163" spans="1:9" hidden="1" x14ac:dyDescent="0.4">
      <c r="A163" t="s">
        <v>165</v>
      </c>
      <c r="B163">
        <v>300</v>
      </c>
      <c r="C163">
        <v>300</v>
      </c>
      <c r="D163">
        <v>372797</v>
      </c>
      <c r="E163">
        <f t="shared" si="12"/>
        <v>3762</v>
      </c>
      <c r="F163">
        <v>262</v>
      </c>
      <c r="I163">
        <f t="shared" si="13"/>
        <v>-1</v>
      </c>
    </row>
    <row r="164" spans="1:9" hidden="1" x14ac:dyDescent="0.4">
      <c r="A164" t="s">
        <v>166</v>
      </c>
      <c r="B164">
        <v>300</v>
      </c>
      <c r="C164">
        <v>300</v>
      </c>
      <c r="D164">
        <v>372826</v>
      </c>
      <c r="E164">
        <f t="shared" si="12"/>
        <v>3791</v>
      </c>
      <c r="F164">
        <v>262</v>
      </c>
      <c r="I164">
        <f t="shared" si="13"/>
        <v>0</v>
      </c>
    </row>
    <row r="165" spans="1:9" hidden="1" x14ac:dyDescent="0.4">
      <c r="A165" t="s">
        <v>167</v>
      </c>
      <c r="B165">
        <v>300</v>
      </c>
      <c r="C165">
        <v>300</v>
      </c>
      <c r="D165">
        <v>372846</v>
      </c>
      <c r="E165">
        <f t="shared" si="12"/>
        <v>3811</v>
      </c>
      <c r="F165">
        <v>263</v>
      </c>
      <c r="I165">
        <f t="shared" si="13"/>
        <v>-1</v>
      </c>
    </row>
    <row r="166" spans="1:9" hidden="1" x14ac:dyDescent="0.4">
      <c r="A166" t="s">
        <v>168</v>
      </c>
      <c r="B166">
        <v>300</v>
      </c>
      <c r="C166">
        <v>300</v>
      </c>
      <c r="D166">
        <v>372876</v>
      </c>
      <c r="E166">
        <f t="shared" si="12"/>
        <v>3841</v>
      </c>
      <c r="F166">
        <v>261</v>
      </c>
      <c r="I166">
        <f t="shared" si="13"/>
        <v>2</v>
      </c>
    </row>
    <row r="167" spans="1:9" hidden="1" x14ac:dyDescent="0.4">
      <c r="A167" t="s">
        <v>169</v>
      </c>
      <c r="B167">
        <v>300</v>
      </c>
      <c r="C167">
        <v>300</v>
      </c>
      <c r="D167">
        <v>372896</v>
      </c>
      <c r="E167">
        <f t="shared" si="12"/>
        <v>3861</v>
      </c>
      <c r="F167">
        <v>260</v>
      </c>
      <c r="I167">
        <f t="shared" si="13"/>
        <v>1</v>
      </c>
    </row>
    <row r="168" spans="1:9" hidden="1" x14ac:dyDescent="0.4">
      <c r="A168" t="s">
        <v>170</v>
      </c>
      <c r="B168">
        <v>300</v>
      </c>
      <c r="C168">
        <v>300</v>
      </c>
      <c r="D168">
        <v>372916</v>
      </c>
      <c r="E168">
        <f t="shared" si="12"/>
        <v>3881</v>
      </c>
      <c r="F168">
        <v>262</v>
      </c>
      <c r="I168">
        <f t="shared" si="13"/>
        <v>-2</v>
      </c>
    </row>
    <row r="169" spans="1:9" hidden="1" x14ac:dyDescent="0.4">
      <c r="A169" t="s">
        <v>171</v>
      </c>
      <c r="B169">
        <v>300</v>
      </c>
      <c r="C169">
        <v>300</v>
      </c>
      <c r="D169">
        <v>372936</v>
      </c>
      <c r="E169">
        <f t="shared" si="12"/>
        <v>3901</v>
      </c>
      <c r="F169">
        <v>262</v>
      </c>
      <c r="I169">
        <f t="shared" si="13"/>
        <v>0</v>
      </c>
    </row>
    <row r="170" spans="1:9" hidden="1" x14ac:dyDescent="0.4">
      <c r="A170" t="s">
        <v>172</v>
      </c>
      <c r="B170">
        <v>300</v>
      </c>
      <c r="C170">
        <v>300</v>
      </c>
      <c r="D170">
        <v>372966</v>
      </c>
      <c r="E170">
        <f t="shared" si="12"/>
        <v>3931</v>
      </c>
      <c r="F170">
        <v>258</v>
      </c>
      <c r="I170">
        <f t="shared" si="13"/>
        <v>4</v>
      </c>
    </row>
    <row r="171" spans="1:9" hidden="1" x14ac:dyDescent="0.4">
      <c r="A171" t="s">
        <v>173</v>
      </c>
      <c r="B171">
        <v>300</v>
      </c>
      <c r="C171">
        <v>300</v>
      </c>
      <c r="D171">
        <v>372986</v>
      </c>
      <c r="E171">
        <f t="shared" si="12"/>
        <v>3951</v>
      </c>
      <c r="F171">
        <v>259</v>
      </c>
      <c r="I171">
        <f t="shared" si="13"/>
        <v>-1</v>
      </c>
    </row>
    <row r="172" spans="1:9" hidden="1" x14ac:dyDescent="0.4">
      <c r="A172" t="s">
        <v>174</v>
      </c>
      <c r="B172">
        <v>300</v>
      </c>
      <c r="C172">
        <v>300</v>
      </c>
      <c r="D172">
        <v>373016</v>
      </c>
      <c r="E172">
        <f t="shared" si="12"/>
        <v>3981</v>
      </c>
      <c r="F172">
        <v>262</v>
      </c>
      <c r="I172">
        <f t="shared" si="13"/>
        <v>-3</v>
      </c>
    </row>
    <row r="173" spans="1:9" hidden="1" x14ac:dyDescent="0.4">
      <c r="A173" t="s">
        <v>175</v>
      </c>
      <c r="B173">
        <v>300</v>
      </c>
      <c r="C173">
        <v>300</v>
      </c>
      <c r="D173">
        <v>373036</v>
      </c>
      <c r="E173">
        <f t="shared" si="12"/>
        <v>4001</v>
      </c>
      <c r="F173">
        <v>261</v>
      </c>
      <c r="I173">
        <f t="shared" si="13"/>
        <v>1</v>
      </c>
    </row>
    <row r="174" spans="1:9" hidden="1" x14ac:dyDescent="0.4">
      <c r="A174" t="s">
        <v>176</v>
      </c>
      <c r="B174">
        <v>300</v>
      </c>
      <c r="C174">
        <v>300</v>
      </c>
      <c r="D174">
        <v>373056</v>
      </c>
      <c r="E174">
        <f t="shared" si="12"/>
        <v>4021</v>
      </c>
      <c r="F174">
        <v>263</v>
      </c>
      <c r="I174">
        <f t="shared" si="13"/>
        <v>-2</v>
      </c>
    </row>
    <row r="175" spans="1:9" hidden="1" x14ac:dyDescent="0.4">
      <c r="A175" t="s">
        <v>177</v>
      </c>
      <c r="B175">
        <v>300</v>
      </c>
      <c r="C175">
        <v>300</v>
      </c>
      <c r="D175">
        <v>373086</v>
      </c>
      <c r="E175">
        <f t="shared" si="12"/>
        <v>4051</v>
      </c>
      <c r="F175">
        <v>260</v>
      </c>
      <c r="I175">
        <f t="shared" si="13"/>
        <v>3</v>
      </c>
    </row>
    <row r="176" spans="1:9" hidden="1" x14ac:dyDescent="0.4">
      <c r="A176" t="s">
        <v>178</v>
      </c>
      <c r="B176">
        <v>300</v>
      </c>
      <c r="C176">
        <v>300</v>
      </c>
      <c r="D176">
        <v>373106</v>
      </c>
      <c r="E176">
        <f t="shared" si="12"/>
        <v>4071</v>
      </c>
      <c r="F176">
        <v>262</v>
      </c>
      <c r="I176">
        <f t="shared" si="13"/>
        <v>-2</v>
      </c>
    </row>
    <row r="177" spans="1:9" hidden="1" x14ac:dyDescent="0.4">
      <c r="A177" t="s">
        <v>179</v>
      </c>
      <c r="B177">
        <v>300</v>
      </c>
      <c r="C177">
        <v>300</v>
      </c>
      <c r="D177">
        <v>373126</v>
      </c>
      <c r="E177">
        <f t="shared" si="12"/>
        <v>4091</v>
      </c>
      <c r="F177">
        <v>259</v>
      </c>
      <c r="I177">
        <f t="shared" si="13"/>
        <v>3</v>
      </c>
    </row>
    <row r="178" spans="1:9" hidden="1" x14ac:dyDescent="0.4">
      <c r="A178" t="s">
        <v>180</v>
      </c>
      <c r="B178">
        <v>300</v>
      </c>
      <c r="C178">
        <v>300</v>
      </c>
      <c r="D178">
        <v>373156</v>
      </c>
      <c r="E178">
        <f t="shared" si="12"/>
        <v>4121</v>
      </c>
      <c r="F178">
        <v>259</v>
      </c>
      <c r="I178">
        <f t="shared" si="13"/>
        <v>0</v>
      </c>
    </row>
    <row r="179" spans="1:9" hidden="1" x14ac:dyDescent="0.4">
      <c r="A179" t="s">
        <v>181</v>
      </c>
      <c r="B179">
        <v>300</v>
      </c>
      <c r="C179">
        <v>300</v>
      </c>
      <c r="D179">
        <v>373176</v>
      </c>
      <c r="E179">
        <f t="shared" si="12"/>
        <v>4141</v>
      </c>
      <c r="F179">
        <v>261</v>
      </c>
      <c r="I179">
        <f t="shared" si="13"/>
        <v>-2</v>
      </c>
    </row>
    <row r="180" spans="1:9" hidden="1" x14ac:dyDescent="0.4">
      <c r="A180" t="s">
        <v>182</v>
      </c>
      <c r="B180">
        <v>300</v>
      </c>
      <c r="C180">
        <v>300</v>
      </c>
      <c r="D180">
        <v>373196</v>
      </c>
      <c r="E180">
        <f t="shared" si="12"/>
        <v>4161</v>
      </c>
      <c r="F180">
        <v>263</v>
      </c>
      <c r="I180">
        <f t="shared" si="13"/>
        <v>-2</v>
      </c>
    </row>
    <row r="181" spans="1:9" hidden="1" x14ac:dyDescent="0.4">
      <c r="A181" t="s">
        <v>183</v>
      </c>
      <c r="B181">
        <v>300</v>
      </c>
      <c r="C181">
        <v>300</v>
      </c>
      <c r="D181">
        <v>373226</v>
      </c>
      <c r="E181">
        <f t="shared" si="12"/>
        <v>4191</v>
      </c>
      <c r="F181">
        <v>261</v>
      </c>
      <c r="I181">
        <f t="shared" si="13"/>
        <v>2</v>
      </c>
    </row>
    <row r="182" spans="1:9" hidden="1" x14ac:dyDescent="0.4">
      <c r="A182" t="s">
        <v>184</v>
      </c>
      <c r="B182">
        <v>300</v>
      </c>
      <c r="C182">
        <v>300</v>
      </c>
      <c r="D182">
        <v>373246</v>
      </c>
      <c r="E182">
        <f t="shared" si="12"/>
        <v>4211</v>
      </c>
      <c r="F182">
        <v>263</v>
      </c>
      <c r="I182">
        <f t="shared" si="13"/>
        <v>-2</v>
      </c>
    </row>
    <row r="183" spans="1:9" hidden="1" x14ac:dyDescent="0.4">
      <c r="A183" t="s">
        <v>185</v>
      </c>
      <c r="B183">
        <v>300</v>
      </c>
      <c r="C183">
        <v>300</v>
      </c>
      <c r="D183">
        <v>373266</v>
      </c>
      <c r="E183">
        <f t="shared" si="12"/>
        <v>4231</v>
      </c>
      <c r="F183">
        <v>262</v>
      </c>
      <c r="I183">
        <f t="shared" si="13"/>
        <v>1</v>
      </c>
    </row>
    <row r="184" spans="1:9" hidden="1" x14ac:dyDescent="0.4">
      <c r="A184" t="s">
        <v>186</v>
      </c>
      <c r="B184">
        <v>300</v>
      </c>
      <c r="C184">
        <v>300</v>
      </c>
      <c r="D184">
        <v>373296</v>
      </c>
      <c r="E184">
        <f t="shared" si="12"/>
        <v>4261</v>
      </c>
      <c r="F184">
        <v>260</v>
      </c>
      <c r="I184">
        <f t="shared" si="13"/>
        <v>2</v>
      </c>
    </row>
    <row r="185" spans="1:9" hidden="1" x14ac:dyDescent="0.4">
      <c r="A185" t="s">
        <v>187</v>
      </c>
      <c r="B185">
        <v>300</v>
      </c>
      <c r="C185">
        <v>300</v>
      </c>
      <c r="D185">
        <v>373316</v>
      </c>
      <c r="E185">
        <f t="shared" si="12"/>
        <v>4281</v>
      </c>
      <c r="F185">
        <v>262</v>
      </c>
      <c r="I185">
        <f t="shared" si="13"/>
        <v>-2</v>
      </c>
    </row>
    <row r="186" spans="1:9" hidden="1" x14ac:dyDescent="0.4">
      <c r="A186" t="s">
        <v>188</v>
      </c>
      <c r="B186">
        <v>300</v>
      </c>
      <c r="C186">
        <v>300</v>
      </c>
      <c r="D186">
        <v>373336</v>
      </c>
      <c r="E186">
        <f t="shared" si="12"/>
        <v>4301</v>
      </c>
      <c r="F186">
        <v>261</v>
      </c>
      <c r="I186">
        <f t="shared" si="13"/>
        <v>1</v>
      </c>
    </row>
    <row r="187" spans="1:9" hidden="1" x14ac:dyDescent="0.4">
      <c r="A187" t="s">
        <v>189</v>
      </c>
      <c r="B187">
        <v>300</v>
      </c>
      <c r="C187">
        <v>300</v>
      </c>
      <c r="D187">
        <v>373366</v>
      </c>
      <c r="E187">
        <f t="shared" si="12"/>
        <v>4331</v>
      </c>
      <c r="F187">
        <v>263</v>
      </c>
      <c r="I187">
        <f t="shared" si="13"/>
        <v>-2</v>
      </c>
    </row>
    <row r="188" spans="1:9" hidden="1" x14ac:dyDescent="0.4">
      <c r="A188" t="s">
        <v>190</v>
      </c>
      <c r="B188">
        <v>300</v>
      </c>
      <c r="C188">
        <v>300</v>
      </c>
      <c r="D188">
        <v>373386</v>
      </c>
      <c r="E188">
        <f t="shared" si="12"/>
        <v>4351</v>
      </c>
      <c r="F188">
        <v>260</v>
      </c>
      <c r="I188">
        <f t="shared" si="13"/>
        <v>3</v>
      </c>
    </row>
    <row r="189" spans="1:9" hidden="1" x14ac:dyDescent="0.4">
      <c r="A189" t="s">
        <v>191</v>
      </c>
      <c r="B189">
        <v>300</v>
      </c>
      <c r="C189">
        <v>300</v>
      </c>
      <c r="D189">
        <v>373416</v>
      </c>
      <c r="E189">
        <f t="shared" si="12"/>
        <v>4381</v>
      </c>
      <c r="F189">
        <v>263</v>
      </c>
      <c r="I189">
        <f t="shared" si="13"/>
        <v>-3</v>
      </c>
    </row>
    <row r="190" spans="1:9" hidden="1" x14ac:dyDescent="0.4">
      <c r="A190" t="s">
        <v>192</v>
      </c>
      <c r="B190">
        <v>300</v>
      </c>
      <c r="C190">
        <v>300</v>
      </c>
      <c r="D190">
        <v>373436</v>
      </c>
      <c r="E190">
        <f t="shared" si="12"/>
        <v>4401</v>
      </c>
      <c r="F190">
        <v>262</v>
      </c>
      <c r="I190">
        <f t="shared" si="13"/>
        <v>1</v>
      </c>
    </row>
    <row r="191" spans="1:9" hidden="1" x14ac:dyDescent="0.4">
      <c r="A191" t="s">
        <v>193</v>
      </c>
      <c r="B191">
        <v>300</v>
      </c>
      <c r="C191">
        <v>300</v>
      </c>
      <c r="D191">
        <v>373456</v>
      </c>
      <c r="E191">
        <f t="shared" si="12"/>
        <v>4421</v>
      </c>
      <c r="F191">
        <v>261</v>
      </c>
      <c r="I191">
        <f t="shared" si="13"/>
        <v>1</v>
      </c>
    </row>
    <row r="192" spans="1:9" hidden="1" x14ac:dyDescent="0.4">
      <c r="A192" t="s">
        <v>194</v>
      </c>
      <c r="B192">
        <v>300</v>
      </c>
      <c r="C192">
        <v>300</v>
      </c>
      <c r="D192">
        <v>373476</v>
      </c>
      <c r="E192">
        <f t="shared" si="12"/>
        <v>4441</v>
      </c>
      <c r="F192">
        <v>261</v>
      </c>
      <c r="I192">
        <f t="shared" si="13"/>
        <v>0</v>
      </c>
    </row>
    <row r="193" spans="1:9" hidden="1" x14ac:dyDescent="0.4">
      <c r="A193" t="s">
        <v>194</v>
      </c>
      <c r="B193">
        <v>300</v>
      </c>
      <c r="C193">
        <v>300</v>
      </c>
      <c r="D193">
        <v>373506</v>
      </c>
      <c r="E193">
        <f t="shared" si="12"/>
        <v>4471</v>
      </c>
      <c r="F193">
        <v>260</v>
      </c>
      <c r="I193">
        <f t="shared" si="13"/>
        <v>1</v>
      </c>
    </row>
    <row r="194" spans="1:9" hidden="1" x14ac:dyDescent="0.4">
      <c r="A194" t="s">
        <v>195</v>
      </c>
      <c r="B194">
        <v>300</v>
      </c>
      <c r="C194">
        <v>300</v>
      </c>
      <c r="D194">
        <v>373526</v>
      </c>
      <c r="E194">
        <f t="shared" si="12"/>
        <v>4491</v>
      </c>
      <c r="F194">
        <v>258</v>
      </c>
      <c r="I194">
        <f t="shared" si="13"/>
        <v>2</v>
      </c>
    </row>
    <row r="195" spans="1:9" hidden="1" x14ac:dyDescent="0.4">
      <c r="A195" t="s">
        <v>196</v>
      </c>
      <c r="B195">
        <v>300</v>
      </c>
      <c r="C195">
        <v>300</v>
      </c>
      <c r="D195">
        <v>373546</v>
      </c>
      <c r="E195">
        <f t="shared" ref="E195:E258" si="14">D195-$D$2</f>
        <v>4511</v>
      </c>
      <c r="F195">
        <v>259</v>
      </c>
      <c r="I195">
        <f t="shared" ref="I195:I211" si="15">F194-F195</f>
        <v>-1</v>
      </c>
    </row>
    <row r="196" spans="1:9" hidden="1" x14ac:dyDescent="0.4">
      <c r="A196" t="s">
        <v>197</v>
      </c>
      <c r="B196">
        <v>300</v>
      </c>
      <c r="C196">
        <v>300</v>
      </c>
      <c r="D196">
        <v>373576</v>
      </c>
      <c r="E196">
        <f t="shared" si="14"/>
        <v>4541</v>
      </c>
      <c r="F196">
        <v>261</v>
      </c>
      <c r="I196">
        <f t="shared" si="15"/>
        <v>-2</v>
      </c>
    </row>
    <row r="197" spans="1:9" hidden="1" x14ac:dyDescent="0.4">
      <c r="A197" t="s">
        <v>198</v>
      </c>
      <c r="B197">
        <v>300</v>
      </c>
      <c r="C197">
        <v>300</v>
      </c>
      <c r="D197">
        <v>373596</v>
      </c>
      <c r="E197">
        <f t="shared" si="14"/>
        <v>4561</v>
      </c>
      <c r="F197">
        <v>259</v>
      </c>
      <c r="I197">
        <f t="shared" si="15"/>
        <v>2</v>
      </c>
    </row>
    <row r="198" spans="1:9" hidden="1" x14ac:dyDescent="0.4">
      <c r="A198" t="s">
        <v>199</v>
      </c>
      <c r="B198">
        <v>300</v>
      </c>
      <c r="C198">
        <v>300</v>
      </c>
      <c r="D198">
        <v>373616</v>
      </c>
      <c r="E198">
        <f t="shared" si="14"/>
        <v>4581</v>
      </c>
      <c r="F198">
        <v>261</v>
      </c>
      <c r="I198">
        <f t="shared" si="15"/>
        <v>-2</v>
      </c>
    </row>
    <row r="199" spans="1:9" hidden="1" x14ac:dyDescent="0.4">
      <c r="A199" t="s">
        <v>200</v>
      </c>
      <c r="B199">
        <v>300</v>
      </c>
      <c r="C199">
        <v>300</v>
      </c>
      <c r="D199">
        <v>373646</v>
      </c>
      <c r="E199">
        <f t="shared" si="14"/>
        <v>4611</v>
      </c>
      <c r="F199">
        <v>262</v>
      </c>
      <c r="I199">
        <f t="shared" si="15"/>
        <v>-1</v>
      </c>
    </row>
    <row r="200" spans="1:9" hidden="1" x14ac:dyDescent="0.4">
      <c r="A200" t="s">
        <v>201</v>
      </c>
      <c r="B200">
        <v>300</v>
      </c>
      <c r="C200">
        <v>300</v>
      </c>
      <c r="D200">
        <v>373666</v>
      </c>
      <c r="E200">
        <f t="shared" si="14"/>
        <v>4631</v>
      </c>
      <c r="F200">
        <v>262</v>
      </c>
      <c r="I200">
        <f t="shared" si="15"/>
        <v>0</v>
      </c>
    </row>
    <row r="201" spans="1:9" hidden="1" x14ac:dyDescent="0.4">
      <c r="A201" t="s">
        <v>202</v>
      </c>
      <c r="B201">
        <v>300</v>
      </c>
      <c r="C201">
        <v>300</v>
      </c>
      <c r="D201">
        <v>373686</v>
      </c>
      <c r="E201">
        <f t="shared" si="14"/>
        <v>4651</v>
      </c>
      <c r="F201">
        <v>261</v>
      </c>
      <c r="I201">
        <f t="shared" si="15"/>
        <v>1</v>
      </c>
    </row>
    <row r="202" spans="1:9" hidden="1" x14ac:dyDescent="0.4">
      <c r="A202" t="s">
        <v>203</v>
      </c>
      <c r="B202">
        <v>300</v>
      </c>
      <c r="C202">
        <v>300</v>
      </c>
      <c r="D202">
        <v>373716</v>
      </c>
      <c r="E202">
        <f t="shared" si="14"/>
        <v>4681</v>
      </c>
      <c r="F202">
        <v>262</v>
      </c>
      <c r="I202">
        <f t="shared" si="15"/>
        <v>-1</v>
      </c>
    </row>
    <row r="203" spans="1:9" hidden="1" x14ac:dyDescent="0.4">
      <c r="A203" t="s">
        <v>204</v>
      </c>
      <c r="B203">
        <v>300</v>
      </c>
      <c r="C203">
        <v>300</v>
      </c>
      <c r="D203">
        <v>373736</v>
      </c>
      <c r="E203">
        <f t="shared" si="14"/>
        <v>4701</v>
      </c>
      <c r="F203">
        <v>259</v>
      </c>
      <c r="I203">
        <f t="shared" si="15"/>
        <v>3</v>
      </c>
    </row>
    <row r="204" spans="1:9" hidden="1" x14ac:dyDescent="0.4">
      <c r="A204" t="s">
        <v>205</v>
      </c>
      <c r="B204">
        <v>300</v>
      </c>
      <c r="C204">
        <v>300</v>
      </c>
      <c r="D204">
        <v>373756</v>
      </c>
      <c r="E204">
        <f t="shared" si="14"/>
        <v>4721</v>
      </c>
      <c r="F204">
        <v>260</v>
      </c>
      <c r="I204">
        <f t="shared" si="15"/>
        <v>-1</v>
      </c>
    </row>
    <row r="205" spans="1:9" hidden="1" x14ac:dyDescent="0.4">
      <c r="A205" t="s">
        <v>206</v>
      </c>
      <c r="B205">
        <v>300</v>
      </c>
      <c r="C205">
        <v>300</v>
      </c>
      <c r="D205">
        <v>373786</v>
      </c>
      <c r="E205">
        <f t="shared" si="14"/>
        <v>4751</v>
      </c>
      <c r="F205">
        <v>261</v>
      </c>
      <c r="I205">
        <f t="shared" si="15"/>
        <v>-1</v>
      </c>
    </row>
    <row r="206" spans="1:9" hidden="1" x14ac:dyDescent="0.4">
      <c r="A206" t="s">
        <v>207</v>
      </c>
      <c r="B206">
        <v>300</v>
      </c>
      <c r="C206">
        <v>300</v>
      </c>
      <c r="D206">
        <v>373806</v>
      </c>
      <c r="E206">
        <f t="shared" si="14"/>
        <v>4771</v>
      </c>
      <c r="F206">
        <v>261</v>
      </c>
      <c r="I206">
        <f t="shared" si="15"/>
        <v>0</v>
      </c>
    </row>
    <row r="207" spans="1:9" hidden="1" x14ac:dyDescent="0.4">
      <c r="A207" t="s">
        <v>208</v>
      </c>
      <c r="B207">
        <v>300</v>
      </c>
      <c r="C207">
        <v>300</v>
      </c>
      <c r="D207">
        <v>373826</v>
      </c>
      <c r="E207">
        <f t="shared" si="14"/>
        <v>4791</v>
      </c>
      <c r="F207">
        <v>261</v>
      </c>
      <c r="I207">
        <f t="shared" si="15"/>
        <v>0</v>
      </c>
    </row>
    <row r="208" spans="1:9" hidden="1" x14ac:dyDescent="0.4">
      <c r="A208" t="s">
        <v>209</v>
      </c>
      <c r="B208">
        <v>300</v>
      </c>
      <c r="C208">
        <v>300</v>
      </c>
      <c r="D208">
        <v>373856</v>
      </c>
      <c r="E208">
        <f t="shared" si="14"/>
        <v>4821</v>
      </c>
      <c r="F208">
        <v>263</v>
      </c>
      <c r="I208">
        <f t="shared" si="15"/>
        <v>-2</v>
      </c>
    </row>
    <row r="209" spans="1:9" hidden="1" x14ac:dyDescent="0.4">
      <c r="A209" t="s">
        <v>209</v>
      </c>
      <c r="B209">
        <v>300</v>
      </c>
      <c r="C209">
        <v>300</v>
      </c>
      <c r="D209">
        <v>373876</v>
      </c>
      <c r="E209">
        <f t="shared" si="14"/>
        <v>4841</v>
      </c>
      <c r="F209">
        <v>261</v>
      </c>
      <c r="I209">
        <f t="shared" si="15"/>
        <v>2</v>
      </c>
    </row>
    <row r="210" spans="1:9" hidden="1" x14ac:dyDescent="0.4">
      <c r="A210" t="s">
        <v>210</v>
      </c>
      <c r="B210">
        <v>300</v>
      </c>
      <c r="C210">
        <v>300</v>
      </c>
      <c r="D210">
        <v>373906</v>
      </c>
      <c r="E210">
        <f t="shared" si="14"/>
        <v>4871</v>
      </c>
      <c r="F210">
        <v>263</v>
      </c>
      <c r="I210">
        <f t="shared" si="15"/>
        <v>-2</v>
      </c>
    </row>
    <row r="211" spans="1:9" hidden="1" x14ac:dyDescent="0.4">
      <c r="A211" t="s">
        <v>211</v>
      </c>
      <c r="B211">
        <v>300</v>
      </c>
      <c r="C211">
        <v>300</v>
      </c>
      <c r="D211">
        <v>373926</v>
      </c>
      <c r="E211">
        <f t="shared" si="14"/>
        <v>4891</v>
      </c>
      <c r="F211">
        <v>259</v>
      </c>
      <c r="I211">
        <f t="shared" si="15"/>
        <v>4</v>
      </c>
    </row>
  </sheetData>
  <phoneticPr fontId="18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teraterm_180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大江公夫</cp:lastModifiedBy>
  <dcterms:created xsi:type="dcterms:W3CDTF">2020-07-18T02:09:00Z</dcterms:created>
  <dcterms:modified xsi:type="dcterms:W3CDTF">2020-07-19T01:20:46Z</dcterms:modified>
</cp:coreProperties>
</file>